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2e27841fd4b7ba/Skrivebord/principper/regnskabsslides/"/>
    </mc:Choice>
  </mc:AlternateContent>
  <xr:revisionPtr revIDLastSave="0" documentId="8_{AD4B6A70-6FD3-4BC7-A2BA-0CB377ABF3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2" l="1"/>
  <c r="E43" i="2" s="1"/>
  <c r="E40" i="2"/>
  <c r="E55" i="2"/>
  <c r="E58" i="2" s="1"/>
  <c r="E52" i="2"/>
  <c r="E46" i="2"/>
  <c r="B56" i="2"/>
  <c r="B50" i="2"/>
  <c r="B46" i="2"/>
  <c r="B45" i="2"/>
  <c r="D24" i="2"/>
  <c r="B54" i="2" s="1"/>
  <c r="B48" i="2"/>
  <c r="D19" i="2"/>
  <c r="D27" i="2" s="1"/>
  <c r="B57" i="2" s="1"/>
  <c r="D17" i="2"/>
  <c r="D25" i="2" s="1"/>
  <c r="B55" i="2" s="1"/>
  <c r="D16" i="2"/>
  <c r="B47" i="2" l="1"/>
  <c r="B52" i="2" s="1"/>
  <c r="B58" i="2"/>
  <c r="C22" i="2"/>
  <c r="C28" i="2"/>
  <c r="B28" i="2"/>
  <c r="B22" i="2"/>
  <c r="B49" i="2"/>
  <c r="B36" i="2"/>
  <c r="B37" i="2"/>
  <c r="B38" i="2"/>
  <c r="B39" i="2"/>
  <c r="B40" i="2"/>
  <c r="B41" i="2"/>
  <c r="B35" i="2"/>
  <c r="D9" i="2"/>
  <c r="D12" i="2" s="1"/>
  <c r="B42" i="2" s="1"/>
  <c r="B53" i="2" l="1"/>
</calcChain>
</file>

<file path=xl/sharedStrings.xml><?xml version="1.0" encoding="utf-8"?>
<sst xmlns="http://schemas.openxmlformats.org/spreadsheetml/2006/main" count="88" uniqueCount="60">
  <si>
    <r>
      <rPr>
        <sz val="11"/>
        <rFont val="Calibri"/>
        <family val="2"/>
      </rPr>
      <t>Omsætning</t>
    </r>
  </si>
  <si>
    <r>
      <rPr>
        <sz val="11"/>
        <rFont val="Calibri"/>
        <family val="2"/>
      </rPr>
      <t>Produktionsomkostninger</t>
    </r>
  </si>
  <si>
    <r>
      <rPr>
        <sz val="11"/>
        <rFont val="Calibri"/>
        <family val="2"/>
      </rPr>
      <t>Bruttofortjeneste</t>
    </r>
  </si>
  <si>
    <r>
      <rPr>
        <sz val="11"/>
        <rFont val="Calibri"/>
        <family val="2"/>
      </rPr>
      <t xml:space="preserve">Administrations- og andre
</t>
    </r>
    <r>
      <rPr>
        <sz val="11"/>
        <rFont val="Calibri"/>
        <family val="2"/>
      </rPr>
      <t>driftsomkostninger</t>
    </r>
  </si>
  <si>
    <r>
      <rPr>
        <sz val="11"/>
        <rFont val="Calibri"/>
        <family val="2"/>
      </rPr>
      <t>Resultat før finansielle poster</t>
    </r>
  </si>
  <si>
    <r>
      <rPr>
        <sz val="11"/>
        <rFont val="Calibri"/>
        <family val="2"/>
      </rPr>
      <t>Finansielle indtægter</t>
    </r>
  </si>
  <si>
    <r>
      <rPr>
        <sz val="11"/>
        <rFont val="Calibri"/>
        <family val="2"/>
      </rPr>
      <t>Finansielle omkostninger</t>
    </r>
  </si>
  <si>
    <r>
      <rPr>
        <b/>
        <sz val="11"/>
        <rFont val="Calibri"/>
        <family val="2"/>
      </rPr>
      <t>Netto resultat</t>
    </r>
  </si>
  <si>
    <r>
      <rPr>
        <b/>
        <sz val="11"/>
        <rFont val="Calibri"/>
        <family val="2"/>
      </rPr>
      <t>Aktiver</t>
    </r>
  </si>
  <si>
    <r>
      <rPr>
        <sz val="11"/>
        <rFont val="Calibri"/>
        <family val="2"/>
      </rPr>
      <t>Grunde, bygninger og produktionsanlæg</t>
    </r>
  </si>
  <si>
    <r>
      <rPr>
        <sz val="11"/>
        <rFont val="Calibri"/>
        <family val="2"/>
      </rPr>
      <t>Varelager</t>
    </r>
  </si>
  <si>
    <r>
      <rPr>
        <sz val="11"/>
        <rFont val="Calibri"/>
        <family val="2"/>
      </rPr>
      <t>Likvider</t>
    </r>
  </si>
  <si>
    <r>
      <rPr>
        <b/>
        <sz val="11"/>
        <rFont val="Calibri"/>
        <family val="2"/>
      </rPr>
      <t>Aktiver i alt</t>
    </r>
  </si>
  <si>
    <r>
      <rPr>
        <b/>
        <sz val="11"/>
        <rFont val="Calibri"/>
        <family val="2"/>
      </rPr>
      <t>Passiver</t>
    </r>
  </si>
  <si>
    <r>
      <rPr>
        <sz val="11"/>
        <rFont val="Calibri"/>
        <family val="2"/>
      </rPr>
      <t>Selskabskapital</t>
    </r>
  </si>
  <si>
    <r>
      <rPr>
        <sz val="11"/>
        <rFont val="Calibri"/>
        <family val="2"/>
      </rPr>
      <t>Gæld</t>
    </r>
  </si>
  <si>
    <r>
      <rPr>
        <sz val="11"/>
        <rFont val="Calibri"/>
        <family val="2"/>
      </rPr>
      <t>Varekreditorer</t>
    </r>
  </si>
  <si>
    <r>
      <rPr>
        <b/>
        <sz val="11"/>
        <rFont val="Calibri"/>
        <family val="2"/>
      </rPr>
      <t>Passiver i alt</t>
    </r>
  </si>
  <si>
    <t>Overført Resultat</t>
  </si>
  <si>
    <t>Investering i Wind Systems</t>
  </si>
  <si>
    <t>Goodwill</t>
  </si>
  <si>
    <t>Resultatopgørelse</t>
  </si>
  <si>
    <t>Green Energy A/S i kr. tusinde</t>
  </si>
  <si>
    <t>Wind Systems A/S i kr. tusinde</t>
  </si>
  <si>
    <t>Omsætning</t>
  </si>
  <si>
    <t>Produktionsomkostninger</t>
  </si>
  <si>
    <t>Bruttofortjeneste</t>
  </si>
  <si>
    <t>Administrations- og andre</t>
  </si>
  <si>
    <t>Resultat før finansielle poster</t>
  </si>
  <si>
    <t>Finansielle indtægter</t>
  </si>
  <si>
    <t>Finansielle omkostninger</t>
  </si>
  <si>
    <t>Netto resultat</t>
  </si>
  <si>
    <t>Aktiver</t>
  </si>
  <si>
    <t>Grunde, bygninger og produktionsanlæg</t>
  </si>
  <si>
    <t>Varelager</t>
  </si>
  <si>
    <t>Varedebitorer</t>
  </si>
  <si>
    <t>Tilgodehavende hos tilknyttede virksomheder</t>
  </si>
  <si>
    <t>Ander tilgodehavender</t>
  </si>
  <si>
    <t>Likvider</t>
  </si>
  <si>
    <t>Aktiver i alt</t>
  </si>
  <si>
    <t>Passiver</t>
  </si>
  <si>
    <t>Selskabskapital</t>
  </si>
  <si>
    <t>Gæld</t>
  </si>
  <si>
    <t>Varekreditorer</t>
  </si>
  <si>
    <t>Passiver i alt</t>
  </si>
  <si>
    <t>Andre tilgodehavener</t>
  </si>
  <si>
    <t>Koncern Resultatopgørelse</t>
  </si>
  <si>
    <t>Koncern Balance</t>
  </si>
  <si>
    <t>Investering i Wind Systems ved indreværdi</t>
  </si>
  <si>
    <t>Eliminationer</t>
  </si>
  <si>
    <t>Indkomst fra associerede virksomheder</t>
  </si>
  <si>
    <t>intern profit</t>
  </si>
  <si>
    <t>intern cogs</t>
  </si>
  <si>
    <t>diff</t>
  </si>
  <si>
    <t>fjern equity i sig selv</t>
  </si>
  <si>
    <t>diff fra før</t>
  </si>
  <si>
    <t>tilgodehavende hos sig selv</t>
  </si>
  <si>
    <t>selvskabskapital købes op</t>
  </si>
  <si>
    <t>tilgodehavende fra sig selv (anden side)</t>
  </si>
  <si>
    <t>goodwill fra købet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</si>
</sst>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center" shrinkToFit="1"/>
    </xf>
    <xf numFmtId="1" fontId="3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3" fontId="0" fillId="0" borderId="0" xfId="0" applyNumberFormat="1" applyAlignment="1">
      <alignment horizontal="left" wrapText="1"/>
    </xf>
    <xf numFmtId="3" fontId="0" fillId="0" borderId="0" xfId="0" applyNumberFormat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3" fontId="7" fillId="0" borderId="3" xfId="0" applyNumberFormat="1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4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left" vertical="center" indent="7"/>
    </xf>
    <xf numFmtId="3" fontId="3" fillId="0" borderId="7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left" vertical="center" indent="8"/>
    </xf>
    <xf numFmtId="0" fontId="4" fillId="0" borderId="6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left" vertical="center" indent="8"/>
    </xf>
    <xf numFmtId="3" fontId="4" fillId="0" borderId="7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right" vertical="center"/>
    </xf>
    <xf numFmtId="3" fontId="4" fillId="0" borderId="7" xfId="0" applyNumberFormat="1" applyFont="1" applyBorder="1" applyAlignment="1">
      <alignment horizontal="left" vertical="center" indent="7"/>
    </xf>
    <xf numFmtId="3" fontId="3" fillId="0" borderId="9" xfId="0" applyNumberFormat="1" applyFont="1" applyBorder="1" applyAlignment="1">
      <alignment horizontal="right" vertical="center"/>
    </xf>
    <xf numFmtId="3" fontId="3" fillId="0" borderId="9" xfId="0" applyNumberFormat="1" applyFont="1" applyBorder="1" applyAlignment="1">
      <alignment horizontal="left" vertical="center" indent="7"/>
    </xf>
    <xf numFmtId="3" fontId="3" fillId="0" borderId="5" xfId="0" applyNumberFormat="1" applyFont="1" applyBorder="1" applyAlignment="1">
      <alignment horizontal="left" vertical="center" indent="8"/>
    </xf>
    <xf numFmtId="0" fontId="4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 indent="7"/>
    </xf>
    <xf numFmtId="3" fontId="4" fillId="0" borderId="0" xfId="0" applyNumberFormat="1" applyFont="1" applyAlignment="1">
      <alignment horizontal="right" vertical="center"/>
    </xf>
    <xf numFmtId="3" fontId="3" fillId="0" borderId="10" xfId="0" applyNumberFormat="1" applyFont="1" applyBorder="1" applyAlignment="1">
      <alignment horizontal="right" vertical="center"/>
    </xf>
    <xf numFmtId="3" fontId="4" fillId="0" borderId="11" xfId="0" applyNumberFormat="1" applyFont="1" applyBorder="1" applyAlignment="1">
      <alignment horizontal="right" vertical="top" shrinkToFit="1"/>
    </xf>
    <xf numFmtId="0" fontId="6" fillId="0" borderId="2" xfId="0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right" wrapText="1"/>
    </xf>
    <xf numFmtId="3" fontId="3" fillId="0" borderId="3" xfId="0" applyNumberFormat="1" applyFont="1" applyBorder="1" applyAlignment="1">
      <alignment horizontal="right" vertical="top"/>
    </xf>
    <xf numFmtId="0" fontId="9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3" fontId="8" fillId="0" borderId="0" xfId="0" applyNumberFormat="1" applyFont="1" applyAlignment="1">
      <alignment horizontal="left" wrapText="1"/>
    </xf>
    <xf numFmtId="3" fontId="8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94CF-0722-47E2-A6B7-505B26D4972A}">
  <dimension ref="A3:P59"/>
  <sheetViews>
    <sheetView tabSelected="1" workbookViewId="0">
      <selection activeCell="C58" sqref="C58"/>
    </sheetView>
  </sheetViews>
  <sheetFormatPr defaultRowHeight="12.75" x14ac:dyDescent="0.2"/>
  <cols>
    <col min="1" max="1" width="50.33203125" bestFit="1" customWidth="1"/>
    <col min="2" max="2" width="21.1640625" bestFit="1" customWidth="1"/>
    <col min="3" max="3" width="24.5" customWidth="1"/>
    <col min="4" max="4" width="49.1640625" customWidth="1"/>
    <col min="5" max="5" width="32.6640625" bestFit="1" customWidth="1"/>
  </cols>
  <sheetData>
    <row r="3" spans="1:5" ht="13.5" thickBot="1" x14ac:dyDescent="0.25"/>
    <row r="4" spans="1:5" ht="35.25" customHeight="1" thickBot="1" x14ac:dyDescent="0.25">
      <c r="A4" s="17" t="s">
        <v>21</v>
      </c>
      <c r="B4" s="18" t="s">
        <v>22</v>
      </c>
      <c r="C4" s="18" t="s">
        <v>23</v>
      </c>
      <c r="D4" s="1" t="s">
        <v>49</v>
      </c>
      <c r="E4" s="3"/>
    </row>
    <row r="5" spans="1:5" ht="16.5" customHeight="1" thickBot="1" x14ac:dyDescent="0.25">
      <c r="A5" s="19" t="s">
        <v>24</v>
      </c>
      <c r="B5" s="20">
        <v>932750</v>
      </c>
      <c r="C5" s="21">
        <v>882990</v>
      </c>
      <c r="D5" s="4">
        <v>-650000</v>
      </c>
      <c r="E5" s="45" t="s">
        <v>51</v>
      </c>
    </row>
    <row r="6" spans="1:5" ht="16.5" customHeight="1" thickBot="1" x14ac:dyDescent="0.25">
      <c r="A6" s="19" t="s">
        <v>25</v>
      </c>
      <c r="B6" s="20">
        <v>-735600</v>
      </c>
      <c r="C6" s="21">
        <v>-717795</v>
      </c>
      <c r="D6" s="4">
        <v>600000</v>
      </c>
      <c r="E6" s="45" t="s">
        <v>52</v>
      </c>
    </row>
    <row r="7" spans="1:5" ht="16.5" customHeight="1" thickBot="1" x14ac:dyDescent="0.25">
      <c r="A7" s="19" t="s">
        <v>26</v>
      </c>
      <c r="B7" s="20">
        <v>197150</v>
      </c>
      <c r="C7" s="21">
        <v>165195</v>
      </c>
      <c r="D7" s="4">
        <v>-50000</v>
      </c>
      <c r="E7" s="45" t="s">
        <v>53</v>
      </c>
    </row>
    <row r="8" spans="1:5" ht="33" customHeight="1" x14ac:dyDescent="0.2">
      <c r="A8" s="22" t="s">
        <v>27</v>
      </c>
      <c r="B8" s="32">
        <v>-120500</v>
      </c>
      <c r="C8" s="31">
        <v>-145450</v>
      </c>
      <c r="D8" s="5"/>
      <c r="E8" s="10"/>
    </row>
    <row r="9" spans="1:5" ht="16.5" customHeight="1" thickBot="1" x14ac:dyDescent="0.25">
      <c r="A9" s="19" t="s">
        <v>28</v>
      </c>
      <c r="B9" s="23">
        <v>76650</v>
      </c>
      <c r="C9" s="21">
        <v>19745</v>
      </c>
      <c r="D9" s="6">
        <f>D7</f>
        <v>-50000</v>
      </c>
      <c r="E9" s="45" t="s">
        <v>53</v>
      </c>
    </row>
    <row r="10" spans="1:5" ht="16.5" customHeight="1" thickBot="1" x14ac:dyDescent="0.25">
      <c r="A10" s="19" t="s">
        <v>29</v>
      </c>
      <c r="B10" s="21">
        <v>2240</v>
      </c>
      <c r="C10" s="21">
        <v>1145</v>
      </c>
      <c r="D10" s="6"/>
      <c r="E10" s="10"/>
    </row>
    <row r="11" spans="1:5" ht="16.5" customHeight="1" thickBot="1" x14ac:dyDescent="0.25">
      <c r="A11" s="19" t="s">
        <v>30</v>
      </c>
      <c r="B11" s="23">
        <v>-13760</v>
      </c>
      <c r="C11" s="21">
        <v>-6340</v>
      </c>
      <c r="D11" s="7"/>
      <c r="E11" s="10"/>
    </row>
    <row r="12" spans="1:5" ht="15.75" customHeight="1" thickBot="1" x14ac:dyDescent="0.3">
      <c r="A12" s="24" t="s">
        <v>31</v>
      </c>
      <c r="B12" s="25">
        <v>65130</v>
      </c>
      <c r="C12" s="26">
        <v>14550</v>
      </c>
      <c r="D12" s="40">
        <f>D9</f>
        <v>-50000</v>
      </c>
      <c r="E12" s="45" t="s">
        <v>53</v>
      </c>
    </row>
    <row r="13" spans="1:5" ht="16.5" customHeight="1" thickBot="1" x14ac:dyDescent="0.25">
      <c r="A13" s="27"/>
      <c r="B13" s="28"/>
      <c r="C13" s="28"/>
      <c r="D13" s="8"/>
      <c r="E13" s="10"/>
    </row>
    <row r="14" spans="1:5" ht="33" customHeight="1" thickBot="1" x14ac:dyDescent="0.25">
      <c r="A14" s="24" t="s">
        <v>32</v>
      </c>
      <c r="B14" s="28"/>
      <c r="C14" s="28"/>
      <c r="D14" s="5"/>
      <c r="E14" s="10"/>
    </row>
    <row r="15" spans="1:5" ht="16.5" customHeight="1" thickBot="1" x14ac:dyDescent="0.25">
      <c r="A15" s="19" t="s">
        <v>33</v>
      </c>
      <c r="B15" s="20">
        <v>481290</v>
      </c>
      <c r="C15" s="21">
        <v>173450</v>
      </c>
      <c r="D15" s="6"/>
      <c r="E15" s="10"/>
    </row>
    <row r="16" spans="1:5" ht="16.5" customHeight="1" thickBot="1" x14ac:dyDescent="0.25">
      <c r="A16" s="19" t="s">
        <v>19</v>
      </c>
      <c r="B16" s="23">
        <v>150000</v>
      </c>
      <c r="C16" s="29"/>
      <c r="D16" s="4">
        <f>-B16</f>
        <v>-150000</v>
      </c>
      <c r="E16" s="45" t="s">
        <v>54</v>
      </c>
    </row>
    <row r="17" spans="1:16" ht="16.5" customHeight="1" thickBot="1" x14ac:dyDescent="0.25">
      <c r="A17" s="19" t="s">
        <v>34</v>
      </c>
      <c r="B17" s="20">
        <v>156865</v>
      </c>
      <c r="C17" s="21">
        <v>115725</v>
      </c>
      <c r="D17" s="4">
        <f>D7</f>
        <v>-50000</v>
      </c>
      <c r="E17" s="45" t="s">
        <v>55</v>
      </c>
    </row>
    <row r="18" spans="1:16" ht="16.5" customHeight="1" thickBot="1" x14ac:dyDescent="0.25">
      <c r="A18" s="19" t="s">
        <v>35</v>
      </c>
      <c r="B18" s="23">
        <v>78876</v>
      </c>
      <c r="C18" s="21">
        <v>55750</v>
      </c>
      <c r="D18" s="4"/>
      <c r="E18" s="10"/>
      <c r="O18" s="11"/>
    </row>
    <row r="19" spans="1:16" ht="16.5" customHeight="1" thickBot="1" x14ac:dyDescent="0.25">
      <c r="A19" s="19" t="s">
        <v>36</v>
      </c>
      <c r="B19" s="23">
        <v>65460</v>
      </c>
      <c r="C19" s="29">
        <v>0</v>
      </c>
      <c r="D19" s="4">
        <f>-B19</f>
        <v>-65460</v>
      </c>
      <c r="E19" s="45" t="s">
        <v>56</v>
      </c>
    </row>
    <row r="20" spans="1:16" ht="16.5" customHeight="1" thickBot="1" x14ac:dyDescent="0.25">
      <c r="A20" s="19" t="s">
        <v>37</v>
      </c>
      <c r="B20" s="23">
        <v>18700</v>
      </c>
      <c r="C20" s="21">
        <v>5200</v>
      </c>
      <c r="D20" s="7"/>
      <c r="E20" s="10"/>
    </row>
    <row r="21" spans="1:16" ht="16.5" customHeight="1" thickBot="1" x14ac:dyDescent="0.25">
      <c r="A21" s="19" t="s">
        <v>38</v>
      </c>
      <c r="B21" s="21">
        <v>5200</v>
      </c>
      <c r="C21" s="21">
        <v>3925</v>
      </c>
      <c r="D21" s="8"/>
      <c r="E21" s="10"/>
    </row>
    <row r="22" spans="1:16" ht="16.5" customHeight="1" thickBot="1" x14ac:dyDescent="0.25">
      <c r="A22" s="24" t="s">
        <v>39</v>
      </c>
      <c r="B22" s="30">
        <f>SUM(B15:B21)</f>
        <v>956391</v>
      </c>
      <c r="C22" s="26">
        <f>SUM(C15:C21)</f>
        <v>354050</v>
      </c>
      <c r="D22" s="4"/>
      <c r="E22" s="10"/>
      <c r="I22" s="11"/>
    </row>
    <row r="23" spans="1:16" ht="16.5" customHeight="1" thickBot="1" x14ac:dyDescent="0.25">
      <c r="A23" s="24" t="s">
        <v>40</v>
      </c>
      <c r="B23" s="28"/>
      <c r="C23" s="28"/>
      <c r="D23" s="4"/>
      <c r="E23" s="10"/>
    </row>
    <row r="24" spans="1:16" ht="16.5" customHeight="1" thickBot="1" x14ac:dyDescent="0.25">
      <c r="A24" s="19" t="s">
        <v>41</v>
      </c>
      <c r="B24" s="23">
        <v>71000</v>
      </c>
      <c r="C24" s="21">
        <v>15000</v>
      </c>
      <c r="D24" s="4">
        <f>-C24</f>
        <v>-15000</v>
      </c>
      <c r="E24" s="46" t="s">
        <v>57</v>
      </c>
    </row>
    <row r="25" spans="1:16" ht="16.5" customHeight="1" thickBot="1" x14ac:dyDescent="0.25">
      <c r="A25" s="19" t="s">
        <v>18</v>
      </c>
      <c r="B25" s="20">
        <v>405825</v>
      </c>
      <c r="C25" s="21">
        <v>111100</v>
      </c>
      <c r="D25" s="4">
        <f>D17-96550</f>
        <v>-146550</v>
      </c>
      <c r="E25" s="11"/>
      <c r="L25" s="11"/>
    </row>
    <row r="26" spans="1:16" ht="16.5" customHeight="1" thickBot="1" x14ac:dyDescent="0.25">
      <c r="A26" s="19" t="s">
        <v>42</v>
      </c>
      <c r="B26" s="20">
        <v>408216</v>
      </c>
      <c r="C26" s="21">
        <v>132794</v>
      </c>
      <c r="D26" s="38"/>
      <c r="E26" s="11"/>
    </row>
    <row r="27" spans="1:16" ht="18.75" customHeight="1" thickBot="1" x14ac:dyDescent="0.25">
      <c r="A27" s="19" t="s">
        <v>43</v>
      </c>
      <c r="B27" s="33">
        <v>71350</v>
      </c>
      <c r="C27" s="37">
        <v>95156</v>
      </c>
      <c r="D27" s="41">
        <f>D19</f>
        <v>-65460</v>
      </c>
      <c r="E27" s="46" t="s">
        <v>58</v>
      </c>
    </row>
    <row r="28" spans="1:16" ht="15.75" thickBot="1" x14ac:dyDescent="0.25">
      <c r="A28" s="24" t="s">
        <v>44</v>
      </c>
      <c r="B28" s="30">
        <f>SUM(B24:B27)</f>
        <v>956391</v>
      </c>
      <c r="C28" s="26">
        <f>SUM(C24:C27)</f>
        <v>354050</v>
      </c>
      <c r="D28" s="11"/>
      <c r="E28" s="11"/>
    </row>
    <row r="29" spans="1:16" ht="15" x14ac:dyDescent="0.2">
      <c r="A29" s="34"/>
      <c r="B29" s="35"/>
      <c r="C29" s="36"/>
      <c r="E29" s="11"/>
    </row>
    <row r="30" spans="1:16" x14ac:dyDescent="0.2">
      <c r="N30" s="11"/>
      <c r="P30" s="11"/>
    </row>
    <row r="34" spans="1:9" ht="15" x14ac:dyDescent="0.2">
      <c r="A34" s="39" t="s">
        <v>46</v>
      </c>
      <c r="B34" s="16"/>
      <c r="D34" s="43" t="s">
        <v>21</v>
      </c>
      <c r="E34" s="42" t="s">
        <v>22</v>
      </c>
    </row>
    <row r="35" spans="1:9" ht="15" x14ac:dyDescent="0.2">
      <c r="A35" s="2" t="s">
        <v>0</v>
      </c>
      <c r="B35" s="15">
        <f t="shared" ref="B35:B42" si="0">B5+C5+D5</f>
        <v>1165740</v>
      </c>
      <c r="D35" s="42" t="s">
        <v>24</v>
      </c>
      <c r="E35" s="42">
        <v>932750</v>
      </c>
    </row>
    <row r="36" spans="1:9" ht="15" x14ac:dyDescent="0.2">
      <c r="A36" s="2" t="s">
        <v>1</v>
      </c>
      <c r="B36" s="15">
        <f t="shared" si="0"/>
        <v>-853395</v>
      </c>
      <c r="D36" s="42" t="s">
        <v>25</v>
      </c>
      <c r="E36" s="42">
        <v>-735600</v>
      </c>
    </row>
    <row r="37" spans="1:9" ht="15" x14ac:dyDescent="0.2">
      <c r="A37" s="2" t="s">
        <v>2</v>
      </c>
      <c r="B37" s="15">
        <f t="shared" si="0"/>
        <v>312345</v>
      </c>
      <c r="D37" s="43" t="s">
        <v>26</v>
      </c>
      <c r="E37" s="42">
        <v>197150</v>
      </c>
    </row>
    <row r="38" spans="1:9" ht="30" x14ac:dyDescent="0.2">
      <c r="A38" s="12" t="s">
        <v>3</v>
      </c>
      <c r="B38" s="15">
        <f t="shared" si="0"/>
        <v>-265950</v>
      </c>
      <c r="D38" s="42" t="s">
        <v>27</v>
      </c>
      <c r="E38" s="42">
        <v>-120500</v>
      </c>
    </row>
    <row r="39" spans="1:9" ht="15" x14ac:dyDescent="0.2">
      <c r="A39" s="2" t="s">
        <v>4</v>
      </c>
      <c r="B39" s="15">
        <f t="shared" si="0"/>
        <v>46395</v>
      </c>
      <c r="D39" s="43" t="s">
        <v>28</v>
      </c>
      <c r="E39" s="42">
        <v>76650</v>
      </c>
      <c r="I39" s="11"/>
    </row>
    <row r="40" spans="1:9" ht="15" x14ac:dyDescent="0.2">
      <c r="A40" s="2" t="s">
        <v>5</v>
      </c>
      <c r="B40" s="15">
        <f t="shared" si="0"/>
        <v>3385</v>
      </c>
      <c r="D40" s="42" t="s">
        <v>29</v>
      </c>
      <c r="E40" s="42">
        <f>2240</f>
        <v>2240</v>
      </c>
      <c r="I40" s="11"/>
    </row>
    <row r="41" spans="1:9" ht="15" x14ac:dyDescent="0.2">
      <c r="A41" s="2" t="s">
        <v>6</v>
      </c>
      <c r="B41" s="15">
        <f t="shared" si="0"/>
        <v>-20100</v>
      </c>
      <c r="C41" s="11"/>
      <c r="D41" s="44" t="s">
        <v>50</v>
      </c>
      <c r="E41" s="42">
        <f>0.2*C12</f>
        <v>2910</v>
      </c>
    </row>
    <row r="42" spans="1:9" ht="15" x14ac:dyDescent="0.2">
      <c r="A42" s="13" t="s">
        <v>7</v>
      </c>
      <c r="B42" s="15">
        <f t="shared" si="0"/>
        <v>29680</v>
      </c>
      <c r="D42" s="42" t="s">
        <v>30</v>
      </c>
      <c r="E42" s="42">
        <v>-13760</v>
      </c>
    </row>
    <row r="43" spans="1:9" ht="15" x14ac:dyDescent="0.2">
      <c r="A43" s="39" t="s">
        <v>47</v>
      </c>
      <c r="B43" s="15"/>
      <c r="C43" s="11"/>
      <c r="D43" s="43" t="s">
        <v>31</v>
      </c>
      <c r="E43" s="42">
        <f>SUM(E39:E42)</f>
        <v>68040</v>
      </c>
    </row>
    <row r="44" spans="1:9" ht="15" x14ac:dyDescent="0.2">
      <c r="A44" s="13" t="s">
        <v>8</v>
      </c>
      <c r="B44" s="15"/>
      <c r="D44" s="43" t="s">
        <v>32</v>
      </c>
      <c r="E44" s="42"/>
    </row>
    <row r="45" spans="1:9" ht="15" x14ac:dyDescent="0.2">
      <c r="A45" s="2" t="s">
        <v>9</v>
      </c>
      <c r="B45" s="15">
        <f>B15+C15+D15</f>
        <v>654740</v>
      </c>
      <c r="C45" s="11"/>
      <c r="D45" s="42" t="s">
        <v>33</v>
      </c>
      <c r="E45" s="42">
        <v>481290</v>
      </c>
    </row>
    <row r="46" spans="1:9" ht="15" x14ac:dyDescent="0.2">
      <c r="A46" s="14" t="s">
        <v>20</v>
      </c>
      <c r="B46" s="15">
        <f>150000-111550</f>
        <v>38450</v>
      </c>
      <c r="C46" s="46" t="s">
        <v>59</v>
      </c>
      <c r="D46" s="42" t="s">
        <v>48</v>
      </c>
      <c r="E46" s="42">
        <f>150000+0.2*C12</f>
        <v>152910</v>
      </c>
    </row>
    <row r="47" spans="1:9" ht="15" x14ac:dyDescent="0.2">
      <c r="A47" s="2" t="s">
        <v>10</v>
      </c>
      <c r="B47" s="15">
        <f>B17+C17+D17</f>
        <v>222590</v>
      </c>
      <c r="C47" s="11"/>
      <c r="D47" s="42" t="s">
        <v>34</v>
      </c>
      <c r="E47" s="42">
        <v>156865</v>
      </c>
    </row>
    <row r="48" spans="1:9" ht="15" x14ac:dyDescent="0.2">
      <c r="A48" s="14" t="s">
        <v>45</v>
      </c>
      <c r="B48" s="15">
        <f>B20+C20</f>
        <v>23900</v>
      </c>
      <c r="D48" s="42" t="s">
        <v>35</v>
      </c>
      <c r="E48" s="42">
        <v>78876</v>
      </c>
    </row>
    <row r="49" spans="1:5" ht="15" x14ac:dyDescent="0.2">
      <c r="A49" s="14" t="s">
        <v>35</v>
      </c>
      <c r="B49" s="15">
        <f>B18+C18+D18</f>
        <v>134626</v>
      </c>
      <c r="D49" s="42" t="s">
        <v>36</v>
      </c>
      <c r="E49" s="42">
        <v>65460</v>
      </c>
    </row>
    <row r="50" spans="1:5" ht="15" x14ac:dyDescent="0.2">
      <c r="A50" s="2" t="s">
        <v>11</v>
      </c>
      <c r="B50" s="15">
        <f>B21+C21</f>
        <v>9125</v>
      </c>
      <c r="D50" s="42" t="s">
        <v>37</v>
      </c>
      <c r="E50" s="42">
        <v>18700</v>
      </c>
    </row>
    <row r="51" spans="1:5" ht="15" x14ac:dyDescent="0.2">
      <c r="D51" s="42" t="s">
        <v>38</v>
      </c>
      <c r="E51" s="42">
        <v>5200</v>
      </c>
    </row>
    <row r="52" spans="1:5" ht="15" x14ac:dyDescent="0.2">
      <c r="A52" s="13" t="s">
        <v>12</v>
      </c>
      <c r="B52" s="15">
        <f>SUM(B45:B50)</f>
        <v>1083431</v>
      </c>
      <c r="D52" s="43" t="s">
        <v>39</v>
      </c>
      <c r="E52" s="42">
        <f>SUM(E45:E51)</f>
        <v>959301</v>
      </c>
    </row>
    <row r="53" spans="1:5" ht="15" x14ac:dyDescent="0.2">
      <c r="A53" s="13" t="s">
        <v>13</v>
      </c>
      <c r="B53" s="15">
        <f>B21+C21+D21</f>
        <v>9125</v>
      </c>
      <c r="D53" s="43" t="s">
        <v>40</v>
      </c>
      <c r="E53" s="42"/>
    </row>
    <row r="54" spans="1:5" ht="15" x14ac:dyDescent="0.2">
      <c r="A54" s="2" t="s">
        <v>14</v>
      </c>
      <c r="B54" s="15">
        <f>SUM(B24:D24)</f>
        <v>71000</v>
      </c>
      <c r="D54" s="42" t="s">
        <v>41</v>
      </c>
      <c r="E54" s="42">
        <v>71000</v>
      </c>
    </row>
    <row r="55" spans="1:5" ht="15" x14ac:dyDescent="0.2">
      <c r="A55" s="14" t="s">
        <v>18</v>
      </c>
      <c r="B55" s="15">
        <f>SUM(B25:D25)</f>
        <v>370375</v>
      </c>
      <c r="D55" s="42" t="s">
        <v>18</v>
      </c>
      <c r="E55" s="42">
        <f>405825+0.2*C12</f>
        <v>408735</v>
      </c>
    </row>
    <row r="56" spans="1:5" ht="15" x14ac:dyDescent="0.2">
      <c r="A56" s="2" t="s">
        <v>15</v>
      </c>
      <c r="B56" s="15">
        <f>SUM(B26:D26)</f>
        <v>541010</v>
      </c>
      <c r="D56" s="42" t="s">
        <v>42</v>
      </c>
      <c r="E56" s="42">
        <v>408216</v>
      </c>
    </row>
    <row r="57" spans="1:5" ht="15" x14ac:dyDescent="0.2">
      <c r="A57" s="2" t="s">
        <v>16</v>
      </c>
      <c r="B57" s="15">
        <f>SUM(B27:D27)</f>
        <v>101046</v>
      </c>
      <c r="D57" s="42" t="s">
        <v>43</v>
      </c>
      <c r="E57" s="42">
        <v>71350</v>
      </c>
    </row>
    <row r="58" spans="1:5" ht="15" x14ac:dyDescent="0.2">
      <c r="A58" s="13" t="s">
        <v>17</v>
      </c>
      <c r="B58" s="15">
        <f>SUM(B54:B57)</f>
        <v>1083431</v>
      </c>
      <c r="D58" s="43" t="s">
        <v>44</v>
      </c>
      <c r="E58" s="42">
        <f>SUM(E54:E57)</f>
        <v>959301</v>
      </c>
    </row>
    <row r="59" spans="1:5" ht="15" x14ac:dyDescent="0.2">
      <c r="A59" s="9"/>
      <c r="B5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Schøler</dc:creator>
  <cp:lastModifiedBy>asger konradi</cp:lastModifiedBy>
  <dcterms:created xsi:type="dcterms:W3CDTF">2023-10-06T08:05:54Z</dcterms:created>
  <dcterms:modified xsi:type="dcterms:W3CDTF">2024-01-17T20:46:14Z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2023-08-23T00:00:00Z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2023-10-06T00:00:00Z</vt:filetime>
  </property>
  <property fmtid="{D5CDD505-2E9C-101B-9397-08002B2CF9AE}" pid="5" name="Producer">
    <vt:lpwstr>Microsoft® Word 2016</vt:lpwstr>
  </property>
</Properties>
</file>