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principper/regnskabsslides/"/>
    </mc:Choice>
  </mc:AlternateContent>
  <xr:revisionPtr revIDLastSave="122" documentId="8_{FDD99F3D-52A7-4DEC-B49F-7FE668AFC701}" xr6:coauthVersionLast="47" xr6:coauthVersionMax="47" xr10:uidLastSave="{F460C5C7-9B4F-41CE-80D0-F1AE9A00F4B3}"/>
  <bookViews>
    <workbookView xWindow="-120" yWindow="-120" windowWidth="29040" windowHeight="15720" firstSheet="7" activeTab="11" xr2:uid="{5224C680-C85A-4811-8FE9-62C659CDB117}"/>
  </bookViews>
  <sheets>
    <sheet name="Balance sheet" sheetId="1" r:id="rId1"/>
    <sheet name="56-A" sheetId="2" r:id="rId2"/>
    <sheet name="Journal" sheetId="3" r:id="rId3"/>
    <sheet name="standard bogførings skema" sheetId="4" r:id="rId4"/>
    <sheet name="Ark5" sheetId="5" r:id="rId5"/>
    <sheet name="schematic balance sheet" sheetId="6" r:id="rId6"/>
    <sheet name="procentage of compleation" sheetId="7" r:id="rId7"/>
    <sheet name="baddebtors" sheetId="8" r:id="rId8"/>
    <sheet name="lagerværdi" sheetId="10" r:id="rId9"/>
    <sheet name="produktionsomkostninger" sheetId="11" r:id="rId10"/>
    <sheet name="cashflow statement" sheetId="12" r:id="rId11"/>
    <sheet name="afskrivninger" sheetId="9" r:id="rId12"/>
    <sheet name="Ark10" sheetId="13" r:id="rId13"/>
    <sheet name="Ark11" sheetId="14" r:id="rId14"/>
    <sheet name="consolideret regnskab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0" l="1"/>
  <c r="E14" i="9"/>
  <c r="F10" i="10"/>
  <c r="F6" i="10"/>
  <c r="M17" i="6"/>
  <c r="C39" i="12"/>
  <c r="S7" i="6"/>
  <c r="S14" i="6" s="1"/>
  <c r="M22" i="14"/>
  <c r="E31" i="12"/>
  <c r="H37" i="13"/>
  <c r="H35" i="13"/>
  <c r="L14" i="13"/>
  <c r="F59" i="9"/>
  <c r="F58" i="9"/>
  <c r="E34" i="12"/>
  <c r="G36" i="15"/>
  <c r="G25" i="15"/>
  <c r="G38" i="15"/>
  <c r="G35" i="15"/>
  <c r="F35" i="15"/>
  <c r="F30" i="15"/>
  <c r="D37" i="15"/>
  <c r="G28" i="15"/>
  <c r="G16" i="15" l="1"/>
  <c r="F38" i="15"/>
  <c r="G27" i="15"/>
  <c r="D39" i="15"/>
  <c r="G37" i="15"/>
  <c r="G29" i="15"/>
  <c r="G33" i="15"/>
  <c r="G26" i="15"/>
  <c r="G32" i="15"/>
  <c r="G31" i="15"/>
  <c r="G30" i="15"/>
  <c r="G21" i="15"/>
  <c r="G18" i="15"/>
  <c r="G20" i="15"/>
  <c r="G15" i="15"/>
  <c r="E39" i="15"/>
  <c r="D11" i="15"/>
  <c r="M19" i="14"/>
  <c r="M21" i="14"/>
  <c r="H31" i="14"/>
  <c r="E31" i="14"/>
  <c r="D31" i="14"/>
  <c r="C31" i="14"/>
  <c r="H23" i="14"/>
  <c r="G23" i="14"/>
  <c r="E23" i="14"/>
  <c r="D23" i="14"/>
  <c r="C23" i="14"/>
  <c r="G16" i="14"/>
  <c r="F16" i="14"/>
  <c r="F20" i="14" s="1"/>
  <c r="F23" i="14" s="1"/>
  <c r="F27" i="14" s="1"/>
  <c r="H16" i="14"/>
  <c r="E16" i="14"/>
  <c r="D16" i="14"/>
  <c r="C16" i="14"/>
  <c r="D9" i="14"/>
  <c r="E9" i="14"/>
  <c r="F9" i="14"/>
  <c r="G9" i="14"/>
  <c r="H9" i="14"/>
  <c r="C9" i="14"/>
  <c r="M6" i="14"/>
  <c r="M7" i="14" s="1"/>
  <c r="F41" i="13"/>
  <c r="F42" i="13" s="1"/>
  <c r="F43" i="13" s="1"/>
  <c r="F44" i="13" s="1"/>
  <c r="F45" i="13" s="1"/>
  <c r="F46" i="13" s="1"/>
  <c r="F47" i="13" s="1"/>
  <c r="F48" i="13" s="1"/>
  <c r="E36" i="13"/>
  <c r="F19" i="13"/>
  <c r="F20" i="13" s="1"/>
  <c r="F21" i="13" s="1"/>
  <c r="F22" i="13" s="1"/>
  <c r="F23" i="13" s="1"/>
  <c r="F24" i="13" s="1"/>
  <c r="F25" i="13" s="1"/>
  <c r="F26" i="13" s="1"/>
  <c r="E14" i="13"/>
  <c r="E5" i="13"/>
  <c r="E11" i="13" s="1"/>
  <c r="G18" i="13" s="1"/>
  <c r="D19" i="13" s="1"/>
  <c r="G19" i="13" s="1"/>
  <c r="D20" i="13" s="1"/>
  <c r="G20" i="13" s="1"/>
  <c r="D21" i="13" s="1"/>
  <c r="G21" i="13" s="1"/>
  <c r="D22" i="13" s="1"/>
  <c r="G22" i="13" s="1"/>
  <c r="D23" i="13" s="1"/>
  <c r="G23" i="13" s="1"/>
  <c r="D24" i="13" s="1"/>
  <c r="G24" i="13" s="1"/>
  <c r="D25" i="13" s="1"/>
  <c r="G25" i="13" s="1"/>
  <c r="D26" i="13" s="1"/>
  <c r="G26" i="13" s="1"/>
  <c r="G60" i="9"/>
  <c r="F60" i="9"/>
  <c r="E60" i="9"/>
  <c r="D60" i="9"/>
  <c r="G59" i="9"/>
  <c r="E59" i="9"/>
  <c r="D59" i="9"/>
  <c r="G58" i="9"/>
  <c r="E58" i="9"/>
  <c r="D58" i="9"/>
  <c r="G57" i="9"/>
  <c r="F57" i="9"/>
  <c r="E57" i="9"/>
  <c r="D57" i="9"/>
  <c r="G56" i="9"/>
  <c r="E56" i="9"/>
  <c r="F56" i="9" s="1"/>
  <c r="E51" i="9"/>
  <c r="E33" i="13" l="1"/>
  <c r="G40" i="13" s="1"/>
  <c r="D41" i="13" s="1"/>
  <c r="G41" i="13" s="1"/>
  <c r="D42" i="13" s="1"/>
  <c r="G42" i="13" s="1"/>
  <c r="D43" i="13" s="1"/>
  <c r="G43" i="13" s="1"/>
  <c r="D44" i="13" s="1"/>
  <c r="G44" i="13" s="1"/>
  <c r="G45" i="13" s="1"/>
  <c r="D46" i="13" s="1"/>
  <c r="G46" i="13" s="1"/>
  <c r="D47" i="13" s="1"/>
  <c r="G47" i="13" s="1"/>
  <c r="D48" i="13" s="1"/>
  <c r="G48" i="13" s="1"/>
  <c r="G17" i="15"/>
  <c r="G19" i="15" s="1"/>
  <c r="G22" i="15" s="1"/>
  <c r="E34" i="13"/>
  <c r="E35" i="13" s="1"/>
  <c r="E37" i="13" s="1"/>
  <c r="E12" i="13"/>
  <c r="E13" i="13" s="1"/>
  <c r="E15" i="13" s="1"/>
  <c r="F29" i="14" l="1"/>
  <c r="F31" i="14" s="1"/>
  <c r="G29" i="14"/>
  <c r="G31" i="14" s="1"/>
  <c r="E49" i="9"/>
  <c r="D38" i="9"/>
  <c r="E29" i="9"/>
  <c r="E33" i="9" s="1"/>
  <c r="E40" i="9" s="1"/>
  <c r="J17" i="9"/>
  <c r="C40" i="12"/>
  <c r="C38" i="12"/>
  <c r="C37" i="12"/>
  <c r="C36" i="12"/>
  <c r="C35" i="12"/>
  <c r="C34" i="12"/>
  <c r="C33" i="12"/>
  <c r="C30" i="12"/>
  <c r="C28" i="12"/>
  <c r="C27" i="12"/>
  <c r="C26" i="12"/>
  <c r="C25" i="12"/>
  <c r="C24" i="12"/>
  <c r="C22" i="12"/>
  <c r="E6" i="12"/>
  <c r="E7" i="12"/>
  <c r="E8" i="12"/>
  <c r="E9" i="12"/>
  <c r="E10" i="12"/>
  <c r="E11" i="12"/>
  <c r="E12" i="12"/>
  <c r="E13" i="12"/>
  <c r="E14" i="12"/>
  <c r="E15" i="12"/>
  <c r="E5" i="12"/>
  <c r="E4" i="12"/>
  <c r="F16" i="11"/>
  <c r="E16" i="11"/>
  <c r="D16" i="11"/>
  <c r="E14" i="11"/>
  <c r="F15" i="11"/>
  <c r="F14" i="11"/>
  <c r="D14" i="11"/>
  <c r="E15" i="11"/>
  <c r="D15" i="11"/>
  <c r="F6" i="11"/>
  <c r="D6" i="11"/>
  <c r="E6" i="11"/>
  <c r="H10" i="10"/>
  <c r="G10" i="10"/>
  <c r="G15" i="10" s="1"/>
  <c r="G6" i="10"/>
  <c r="G13" i="10" s="1"/>
  <c r="H6" i="10"/>
  <c r="F13" i="10"/>
  <c r="F15" i="10" s="1"/>
  <c r="F5" i="10"/>
  <c r="H5" i="10"/>
  <c r="G5" i="10"/>
  <c r="H4" i="10"/>
  <c r="G4" i="10"/>
  <c r="F4" i="10"/>
  <c r="E22" i="8"/>
  <c r="C14" i="8"/>
  <c r="H11" i="10" l="1"/>
  <c r="F11" i="10"/>
  <c r="G11" i="10"/>
  <c r="K8" i="10"/>
  <c r="H12" i="10" s="1"/>
  <c r="F12" i="10"/>
  <c r="F9" i="10"/>
  <c r="G12" i="10"/>
  <c r="G9" i="10"/>
  <c r="E30" i="9"/>
  <c r="E11" i="9"/>
  <c r="E38" i="9"/>
  <c r="G38" i="9" s="1"/>
  <c r="D39" i="9" s="1"/>
  <c r="G39" i="9" s="1"/>
  <c r="D40" i="9" s="1"/>
  <c r="G40" i="9" s="1"/>
  <c r="D41" i="9" s="1"/>
  <c r="E39" i="9"/>
  <c r="E42" i="9"/>
  <c r="E41" i="9"/>
  <c r="C18" i="8"/>
  <c r="C19" i="8"/>
  <c r="C20" i="8"/>
  <c r="C17" i="8"/>
  <c r="H9" i="10" l="1"/>
  <c r="H13" i="10"/>
  <c r="H15" i="10" s="1"/>
  <c r="E13" i="9"/>
  <c r="E15" i="9" s="1"/>
  <c r="E19" i="9" s="1"/>
  <c r="F19" i="9" s="1"/>
  <c r="F20" i="9" s="1"/>
  <c r="F21" i="9" s="1"/>
  <c r="G18" i="9"/>
  <c r="G19" i="9" s="1"/>
  <c r="D19" i="9"/>
  <c r="F38" i="9"/>
  <c r="F39" i="9" s="1"/>
  <c r="F40" i="9" s="1"/>
  <c r="F41" i="9" s="1"/>
  <c r="F42" i="9" s="1"/>
  <c r="G41" i="9"/>
  <c r="D42" i="9" s="1"/>
  <c r="G42" i="9" s="1"/>
  <c r="C21" i="8"/>
  <c r="G37" i="7"/>
  <c r="H12" i="7"/>
  <c r="H20" i="7"/>
  <c r="G51" i="7"/>
  <c r="D51" i="7"/>
  <c r="C51" i="7"/>
  <c r="G43" i="7"/>
  <c r="D43" i="7"/>
  <c r="C43" i="7"/>
  <c r="E37" i="7"/>
  <c r="D37" i="7"/>
  <c r="C37" i="7"/>
  <c r="O35" i="7"/>
  <c r="L39" i="7" s="1"/>
  <c r="O34" i="7"/>
  <c r="D23" i="7"/>
  <c r="G23" i="7"/>
  <c r="C23" i="7"/>
  <c r="E9" i="7"/>
  <c r="C15" i="7"/>
  <c r="D15" i="7"/>
  <c r="G15" i="7"/>
  <c r="D9" i="7"/>
  <c r="C9" i="7"/>
  <c r="G8" i="7"/>
  <c r="G9" i="7" s="1"/>
  <c r="O7" i="7"/>
  <c r="L11" i="7" s="1"/>
  <c r="H6" i="7" s="1"/>
  <c r="I6" i="7" s="1"/>
  <c r="I12" i="7" s="1"/>
  <c r="I20" i="7" s="1"/>
  <c r="O6" i="7"/>
  <c r="S10" i="6"/>
  <c r="S13" i="6" s="1"/>
  <c r="D17" i="6"/>
  <c r="E17" i="6"/>
  <c r="F17" i="6"/>
  <c r="G17" i="6"/>
  <c r="H17" i="6"/>
  <c r="I17" i="6"/>
  <c r="J17" i="6"/>
  <c r="K17" i="6"/>
  <c r="L17" i="6"/>
  <c r="C17" i="6"/>
  <c r="F5" i="5"/>
  <c r="F8" i="5" s="1"/>
  <c r="C12" i="5"/>
  <c r="C11" i="5"/>
  <c r="C5" i="5"/>
  <c r="L19" i="4"/>
  <c r="J19" i="4"/>
  <c r="G17" i="4"/>
  <c r="G18" i="4"/>
  <c r="G12" i="4"/>
  <c r="D24" i="4"/>
  <c r="C24" i="4"/>
  <c r="G15" i="3"/>
  <c r="H29" i="3"/>
  <c r="G29" i="3"/>
  <c r="C7" i="2"/>
  <c r="I8" i="1"/>
  <c r="I6" i="1"/>
  <c r="L10" i="1"/>
  <c r="E15" i="1"/>
  <c r="E19" i="1" s="1"/>
  <c r="C19" i="1"/>
  <c r="D20" i="9" l="1"/>
  <c r="G20" i="9"/>
  <c r="C23" i="8"/>
  <c r="E20" i="7"/>
  <c r="E23" i="7" s="1"/>
  <c r="G17" i="7"/>
  <c r="G25" i="7" s="1"/>
  <c r="C17" i="7"/>
  <c r="D17" i="7"/>
  <c r="E43" i="7"/>
  <c r="E45" i="7" s="1"/>
  <c r="D25" i="7"/>
  <c r="D45" i="7"/>
  <c r="D53" i="7" s="1"/>
  <c r="G45" i="7"/>
  <c r="G53" i="7" s="1"/>
  <c r="C25" i="7"/>
  <c r="E12" i="7"/>
  <c r="E15" i="7" s="1"/>
  <c r="F20" i="7"/>
  <c r="F23" i="7" s="1"/>
  <c r="F6" i="7"/>
  <c r="F9" i="7" s="1"/>
  <c r="F12" i="7"/>
  <c r="F15" i="7" s="1"/>
  <c r="F17" i="7" s="1"/>
  <c r="E17" i="7"/>
  <c r="E25" i="7" s="1"/>
  <c r="C45" i="7"/>
  <c r="C53" i="7" s="1"/>
  <c r="F51" i="7"/>
  <c r="F37" i="7"/>
  <c r="F43" i="7"/>
  <c r="E51" i="7"/>
  <c r="G21" i="4"/>
  <c r="I29" i="3"/>
  <c r="G21" i="9" l="1"/>
  <c r="D21" i="9"/>
  <c r="F45" i="7"/>
  <c r="F53" i="7" s="1"/>
  <c r="F25" i="7"/>
  <c r="E53" i="7"/>
  <c r="G39" i="15" l="1"/>
  <c r="I36" i="15" s="1"/>
</calcChain>
</file>

<file path=xl/sharedStrings.xml><?xml version="1.0" encoding="utf-8"?>
<sst xmlns="http://schemas.openxmlformats.org/spreadsheetml/2006/main" count="605" uniqueCount="338">
  <si>
    <t>Asssets</t>
  </si>
  <si>
    <t>Liabilities and equity</t>
  </si>
  <si>
    <t>Current assets</t>
  </si>
  <si>
    <t>Liabilities</t>
  </si>
  <si>
    <t>Recievables</t>
  </si>
  <si>
    <t>Investments</t>
  </si>
  <si>
    <t>Cash and cash eq</t>
  </si>
  <si>
    <t>Inventories</t>
  </si>
  <si>
    <t>Non-Current assets</t>
  </si>
  <si>
    <t>Total</t>
  </si>
  <si>
    <t>Property investment</t>
  </si>
  <si>
    <t>Current Liabilities</t>
  </si>
  <si>
    <t xml:space="preserve"> Current liabilities</t>
  </si>
  <si>
    <t>Noncurrent Liabilities</t>
  </si>
  <si>
    <t>Long term liabilities</t>
  </si>
  <si>
    <t>Equity</t>
  </si>
  <si>
    <t>Share capital</t>
  </si>
  <si>
    <t>Retained earnings</t>
  </si>
  <si>
    <t>Egenkaptial opgørelse</t>
  </si>
  <si>
    <t>Income statement</t>
  </si>
  <si>
    <t>Revenue</t>
  </si>
  <si>
    <t>Interest expense</t>
  </si>
  <si>
    <t>Salary and other empl</t>
  </si>
  <si>
    <t>Other expenses</t>
  </si>
  <si>
    <t>Net income</t>
  </si>
  <si>
    <t xml:space="preserve">Netincome </t>
  </si>
  <si>
    <t>Retained earnings beg</t>
  </si>
  <si>
    <t>Dividends ?</t>
  </si>
  <si>
    <t>Retained earnings end</t>
  </si>
  <si>
    <t>Beginning</t>
  </si>
  <si>
    <t>Assets</t>
  </si>
  <si>
    <t>Ending</t>
  </si>
  <si>
    <t>Revenues</t>
  </si>
  <si>
    <t>Expenses</t>
  </si>
  <si>
    <t>Beginning retained earnings</t>
  </si>
  <si>
    <t>"+ Net income"</t>
  </si>
  <si>
    <t>Swift corp</t>
  </si>
  <si>
    <t>Brezza corp</t>
  </si>
  <si>
    <t>Ritz corp</t>
  </si>
  <si>
    <t>"- Dividends"</t>
  </si>
  <si>
    <t>Ending retained earnings</t>
  </si>
  <si>
    <t xml:space="preserve"> </t>
  </si>
  <si>
    <t>Journal</t>
  </si>
  <si>
    <t>Dato</t>
  </si>
  <si>
    <t>Beskrivelse</t>
  </si>
  <si>
    <t>Debit</t>
  </si>
  <si>
    <t>Credit</t>
  </si>
  <si>
    <t>Cash</t>
  </si>
  <si>
    <t>Supplies</t>
  </si>
  <si>
    <t>Equipment</t>
  </si>
  <si>
    <t>Accounts payable</t>
  </si>
  <si>
    <t>Service</t>
  </si>
  <si>
    <t>Land and property assets</t>
  </si>
  <si>
    <t xml:space="preserve">Accounts reciviable </t>
  </si>
  <si>
    <t>Dividends</t>
  </si>
  <si>
    <t>Land and prop asset</t>
  </si>
  <si>
    <t>Accounts reciev</t>
  </si>
  <si>
    <t>Employee expense</t>
  </si>
  <si>
    <t>Chocalate hut inc.</t>
  </si>
  <si>
    <t>Accounts in thousands</t>
  </si>
  <si>
    <t>Accounts recievable</t>
  </si>
  <si>
    <t>Property, plant and equipment</t>
  </si>
  <si>
    <t>Prerpaid expenses</t>
  </si>
  <si>
    <t>Account</t>
  </si>
  <si>
    <t>December 31. 20x8</t>
  </si>
  <si>
    <t>Accumulated depreciation</t>
  </si>
  <si>
    <t>Other assets</t>
  </si>
  <si>
    <t>Income tax payable</t>
  </si>
  <si>
    <t>Other liabilities</t>
  </si>
  <si>
    <t xml:space="preserve">Retained earnings beginning </t>
  </si>
  <si>
    <t>Sale revenue</t>
  </si>
  <si>
    <t>Cost of goods sold</t>
  </si>
  <si>
    <t>Selling, administrative and general expenses</t>
  </si>
  <si>
    <t>Income tax expense</t>
  </si>
  <si>
    <t>Selling, Adminstrative and general expenses</t>
  </si>
  <si>
    <t>Statement of changes in equity</t>
  </si>
  <si>
    <t xml:space="preserve">Net income </t>
  </si>
  <si>
    <t>Retained earnings ending</t>
  </si>
  <si>
    <t>Total equity beginning</t>
  </si>
  <si>
    <t>Balance sheet</t>
  </si>
  <si>
    <t>Noncurrent assets</t>
  </si>
  <si>
    <t>Prepaid expenses</t>
  </si>
  <si>
    <t>Accounts Payable</t>
  </si>
  <si>
    <t>Service Revenue</t>
  </si>
  <si>
    <t>Other Revenue</t>
  </si>
  <si>
    <t>TOTAL REVENUE</t>
  </si>
  <si>
    <t>Selling, general and administrative expenses</t>
  </si>
  <si>
    <t>Depreciation expense</t>
  </si>
  <si>
    <t>TOTAL EXPENSE</t>
  </si>
  <si>
    <t>Transaction</t>
  </si>
  <si>
    <t xml:space="preserve">Cash </t>
  </si>
  <si>
    <t>Inventory</t>
  </si>
  <si>
    <t>Acc. Depr</t>
  </si>
  <si>
    <t>Bank overdraft</t>
  </si>
  <si>
    <t>Other creditors</t>
  </si>
  <si>
    <t>Company capital</t>
  </si>
  <si>
    <t>Reserves</t>
  </si>
  <si>
    <t>Primo</t>
  </si>
  <si>
    <t>Equity income statement retained</t>
  </si>
  <si>
    <t>Advertisment expense</t>
  </si>
  <si>
    <t>INFO</t>
  </si>
  <si>
    <t>Sales against cash</t>
  </si>
  <si>
    <t>Wages</t>
  </si>
  <si>
    <t>rent</t>
  </si>
  <si>
    <t>COGS</t>
  </si>
  <si>
    <t>Depreciation</t>
  </si>
  <si>
    <t>ENDING</t>
  </si>
  <si>
    <t>wages</t>
  </si>
  <si>
    <t>Work in progress</t>
  </si>
  <si>
    <t>ASSET</t>
  </si>
  <si>
    <t>EQUITY</t>
  </si>
  <si>
    <t>YEAR</t>
  </si>
  <si>
    <t>Inventory
(asset)</t>
  </si>
  <si>
    <t>Receivable related to 
"Work in Progress”</t>
  </si>
  <si>
    <t>POC of the year</t>
  </si>
  <si>
    <t>POC to date</t>
  </si>
  <si>
    <t>Year 1</t>
  </si>
  <si>
    <t>Cash payments</t>
  </si>
  <si>
    <t>Budgeted costs</t>
  </si>
  <si>
    <t>Years</t>
  </si>
  <si>
    <t>Year 2</t>
  </si>
  <si>
    <t>Total Budget</t>
  </si>
  <si>
    <t>1+2</t>
  </si>
  <si>
    <t>Year 3</t>
  </si>
  <si>
    <t>1+2+3</t>
  </si>
  <si>
    <t>In total</t>
  </si>
  <si>
    <t>Uneared revenue</t>
  </si>
  <si>
    <t>During the year</t>
  </si>
  <si>
    <t>Sales on account</t>
  </si>
  <si>
    <t>Percentage of receivables</t>
  </si>
  <si>
    <t>loss percentage</t>
  </si>
  <si>
    <t>Cash from debtors</t>
  </si>
  <si>
    <t>Group 1</t>
  </si>
  <si>
    <t>Group 2</t>
  </si>
  <si>
    <t>Group 3</t>
  </si>
  <si>
    <t>Account receivables</t>
  </si>
  <si>
    <t>Group 4</t>
  </si>
  <si>
    <t>Estimated Uncollectible</t>
  </si>
  <si>
    <t>End</t>
  </si>
  <si>
    <t>Loss on receivables</t>
  </si>
  <si>
    <t>Accounts receivable</t>
  </si>
  <si>
    <t>Allowance</t>
  </si>
  <si>
    <t>Total allowance</t>
  </si>
  <si>
    <t>Net accounts receivable</t>
  </si>
  <si>
    <t>a</t>
  </si>
  <si>
    <t>b</t>
  </si>
  <si>
    <t>c</t>
  </si>
  <si>
    <t>d</t>
  </si>
  <si>
    <t>INPUTS</t>
  </si>
  <si>
    <t>Useful life</t>
  </si>
  <si>
    <t>Year 4</t>
  </si>
  <si>
    <t>Expected miles</t>
  </si>
  <si>
    <t>Cost</t>
  </si>
  <si>
    <t>Residual value</t>
  </si>
  <si>
    <t>Straight line/linear method</t>
  </si>
  <si>
    <t>Depreciable amount</t>
  </si>
  <si>
    <t xml:space="preserve">Depr. Rate </t>
  </si>
  <si>
    <t>Depr. Per year</t>
  </si>
  <si>
    <t>Year</t>
  </si>
  <si>
    <t>Carrying value Beginning of the year</t>
  </si>
  <si>
    <t>Depreciation for the year</t>
  </si>
  <si>
    <t>Accumulated Depreciation</t>
  </si>
  <si>
    <t>Carrying value             End of the year</t>
  </si>
  <si>
    <t>Units of production method</t>
  </si>
  <si>
    <t>miles year 1</t>
  </si>
  <si>
    <t>miles year 2</t>
  </si>
  <si>
    <t>miles year 3</t>
  </si>
  <si>
    <t>miles year 4</t>
  </si>
  <si>
    <t>Double declining method</t>
  </si>
  <si>
    <t>(1/N)*2</t>
  </si>
  <si>
    <t>Date</t>
  </si>
  <si>
    <t>Quantity</t>
  </si>
  <si>
    <t>Quantity * Cost</t>
  </si>
  <si>
    <t>Køb</t>
  </si>
  <si>
    <t>Salg</t>
  </si>
  <si>
    <t>LIFO</t>
  </si>
  <si>
    <t>AVG</t>
  </si>
  <si>
    <t>FIFO</t>
  </si>
  <si>
    <t>WAC</t>
  </si>
  <si>
    <t>Lager ultimo</t>
  </si>
  <si>
    <t>Gross profit</t>
  </si>
  <si>
    <t>Samlede direkte produktionsomkostninger</t>
  </si>
  <si>
    <t>Samlede indirekte produktionsomkostninger</t>
  </si>
  <si>
    <t>Produktionsomkostninger i alt</t>
  </si>
  <si>
    <t>20x1</t>
  </si>
  <si>
    <t>20x2</t>
  </si>
  <si>
    <t>20x3</t>
  </si>
  <si>
    <t>1.000 DKK</t>
  </si>
  <si>
    <t xml:space="preserve">1.000DKK </t>
  </si>
  <si>
    <t>1.000DKK</t>
  </si>
  <si>
    <t>Produktionskapacitet, nromal produktion</t>
  </si>
  <si>
    <t xml:space="preserve">Faktisk produktion </t>
  </si>
  <si>
    <t>Basis for IPO</t>
  </si>
  <si>
    <t>Indirekte produktionomkostninger per enhed</t>
  </si>
  <si>
    <t>Direkte produktiomskostninger per enhed</t>
  </si>
  <si>
    <t>Samlet produktionsomkostninger per enhed</t>
  </si>
  <si>
    <t>Kapitalandele (til indre værdi)</t>
  </si>
  <si>
    <t>Varebeholdninger</t>
  </si>
  <si>
    <t>Debitorer</t>
  </si>
  <si>
    <t>Likvide beholdninger</t>
  </si>
  <si>
    <t>I alt aktiver</t>
  </si>
  <si>
    <t>Egenkapital</t>
  </si>
  <si>
    <t>Hensættelser til udskudt skat</t>
  </si>
  <si>
    <t>Prioritetsgæld</t>
  </si>
  <si>
    <t>Forudbetalinger fra kunder</t>
  </si>
  <si>
    <t>Varekreditorer</t>
  </si>
  <si>
    <t>I alt passiver</t>
  </si>
  <si>
    <t>Grunde, bygninger, produktionsanlæg og driftsmidler</t>
  </si>
  <si>
    <t>Forskelle</t>
  </si>
  <si>
    <t>Pengestrømsopgørrelse</t>
  </si>
  <si>
    <t>Nettoresultat</t>
  </si>
  <si>
    <t>Afskrivninger</t>
  </si>
  <si>
    <t>Hensættelser til overkskudt skat</t>
  </si>
  <si>
    <t>Betalt skat</t>
  </si>
  <si>
    <t>Ikke kontat kapitalandele (indre værdi)</t>
  </si>
  <si>
    <t>Tilgodehavender</t>
  </si>
  <si>
    <t>Kreditorer/Accountspayable</t>
  </si>
  <si>
    <t>Skyldige omkostninger / deferred income and accruals</t>
  </si>
  <si>
    <t>Pengestrømme fra driftsaktiviteter</t>
  </si>
  <si>
    <t>Køb af matrielle aktiver</t>
  </si>
  <si>
    <t>Salg af matrielle aktiver</t>
  </si>
  <si>
    <t>Pengestrømme fra investeringsaktiviteter</t>
  </si>
  <si>
    <t>Afdrag på langfristet gæld</t>
  </si>
  <si>
    <t>Optagelse af ny gæld</t>
  </si>
  <si>
    <t>Udbetalt dividender</t>
  </si>
  <si>
    <t>Pengestrømme fra finanseringsaktiviteter</t>
  </si>
  <si>
    <t>Likvide beholdninger primo</t>
  </si>
  <si>
    <t xml:space="preserve">Samlede pengestrømme / net increase in Cash </t>
  </si>
  <si>
    <t>Likvide beholdninger ultimo</t>
  </si>
  <si>
    <t>?</t>
  </si>
  <si>
    <t>I alt</t>
  </si>
  <si>
    <t>miles year 5</t>
  </si>
  <si>
    <t>Vandingsmaskine</t>
  </si>
  <si>
    <t>Rabat?</t>
  </si>
  <si>
    <t>Markedsundersøgelse</t>
  </si>
  <si>
    <t>Leveringsudgift</t>
  </si>
  <si>
    <t>Montageudgift</t>
  </si>
  <si>
    <t>Løn til internt betjeningskursus</t>
  </si>
  <si>
    <t xml:space="preserve">Løn til gartner </t>
  </si>
  <si>
    <t>Vedligeholdelses udgifter</t>
  </si>
  <si>
    <t>Indkøbte komponenter øger sikkerhed</t>
  </si>
  <si>
    <t>Reservedele</t>
  </si>
  <si>
    <t>Udbedring og maling gulv osv</t>
  </si>
  <si>
    <t>Samlet</t>
  </si>
  <si>
    <t>spg 3</t>
  </si>
  <si>
    <t>Hvis vandforsyningen er mere værd, derefter må den opskrives til dagsværdi</t>
  </si>
  <si>
    <t>Transaktioner</t>
  </si>
  <si>
    <t>Drivhus</t>
  </si>
  <si>
    <t>Vandingsanlæg</t>
  </si>
  <si>
    <t>Køb af drivhus</t>
  </si>
  <si>
    <t>År 20X1</t>
  </si>
  <si>
    <t>Acc afskrivninger</t>
  </si>
  <si>
    <t>Køb af vandingsanlæg</t>
  </si>
  <si>
    <t>Service af vandingsanlæg</t>
  </si>
  <si>
    <t>Afskrivinger</t>
  </si>
  <si>
    <t>Res. Opg.</t>
  </si>
  <si>
    <t>Afskriv vandingsanlæg</t>
  </si>
  <si>
    <t>Afskriv drivhus</t>
  </si>
  <si>
    <t>Drivhus pris</t>
  </si>
  <si>
    <t>Scrap værdi</t>
  </si>
  <si>
    <t>År</t>
  </si>
  <si>
    <t>Percent</t>
  </si>
  <si>
    <t>Depreciable amount year</t>
  </si>
  <si>
    <t>Vandingsanlæg pris</t>
  </si>
  <si>
    <t>År 20X2</t>
  </si>
  <si>
    <t>Transaktioner / Primo</t>
  </si>
  <si>
    <t>År 20X3</t>
  </si>
  <si>
    <t>År 20X4</t>
  </si>
  <si>
    <t>egenkapital</t>
  </si>
  <si>
    <t>Opskriv drivhus</t>
  </si>
  <si>
    <t>Opg 1)</t>
  </si>
  <si>
    <t>Da det er en selvkonstrueret immatriel aktiv, kan det normalt ikke indregnes. Medmindre at der er en forskningsface eller udviklings face</t>
  </si>
  <si>
    <t>Opgave 4</t>
  </si>
  <si>
    <t xml:space="preserve">4.a) </t>
  </si>
  <si>
    <t>Wind Systems er en datter virksomhed af Green Energy, da de ejer over 50% af aktierne i virksomheden</t>
  </si>
  <si>
    <t>4.b</t>
  </si>
  <si>
    <t>Udregn Goodwill</t>
  </si>
  <si>
    <t xml:space="preserve">Købspris </t>
  </si>
  <si>
    <t>Nettoaktiverne</t>
  </si>
  <si>
    <t>Goodwill</t>
  </si>
  <si>
    <t>Resultatopgørelse</t>
  </si>
  <si>
    <t>Omsætning</t>
  </si>
  <si>
    <t>Produktionsomkostninger</t>
  </si>
  <si>
    <t>Bruttofortjeneste</t>
  </si>
  <si>
    <t>Admin og andre driftomkost.</t>
  </si>
  <si>
    <t>Resultat før finansielle poster</t>
  </si>
  <si>
    <t>Finansielle intægter</t>
  </si>
  <si>
    <t>Finansielle omkostninger</t>
  </si>
  <si>
    <t>Netto resultat</t>
  </si>
  <si>
    <t>Aktiver</t>
  </si>
  <si>
    <t>Grunde, bygninger og produktionsanlæg</t>
  </si>
  <si>
    <t>Investering i wind systems</t>
  </si>
  <si>
    <t>Varelager</t>
  </si>
  <si>
    <t>Varedebitorer</t>
  </si>
  <si>
    <t>Tilgodehavende hos tilknyttede virksomheder</t>
  </si>
  <si>
    <t>Andre tilgodehavender</t>
  </si>
  <si>
    <t>Likvider</t>
  </si>
  <si>
    <t>Aktiver i alt</t>
  </si>
  <si>
    <t>Passiver</t>
  </si>
  <si>
    <t>Green wind</t>
  </si>
  <si>
    <t>Wind systems</t>
  </si>
  <si>
    <t>Selskabskapital</t>
  </si>
  <si>
    <t>Overført resultat</t>
  </si>
  <si>
    <t>Gæld</t>
  </si>
  <si>
    <t xml:space="preserve">Passiver i alt </t>
  </si>
  <si>
    <t>Consolideret</t>
  </si>
  <si>
    <t>???????</t>
  </si>
  <si>
    <t>Asset</t>
  </si>
  <si>
    <t>Revaluation reserve</t>
  </si>
  <si>
    <t>læg afskrivning til så vi ved hvor den kommer fra</t>
  </si>
  <si>
    <t>træk det fra igen xd</t>
  </si>
  <si>
    <t>fyr</t>
  </si>
  <si>
    <t>kostpris</t>
  </si>
  <si>
    <t>rabat</t>
  </si>
  <si>
    <t>installation</t>
  </si>
  <si>
    <t>transport</t>
  </si>
  <si>
    <t>dato</t>
  </si>
  <si>
    <t>antal</t>
  </si>
  <si>
    <t>15. januar</t>
  </si>
  <si>
    <t>1. april</t>
  </si>
  <si>
    <t xml:space="preserve">1. juli </t>
  </si>
  <si>
    <t>slut</t>
  </si>
  <si>
    <t>lager</t>
  </si>
  <si>
    <t>fifo</t>
  </si>
  <si>
    <t>lifo</t>
  </si>
  <si>
    <t>wac</t>
  </si>
  <si>
    <t>øvrige indkomster</t>
  </si>
  <si>
    <t>"tab ryger direkte på resultatopgørelsen"</t>
  </si>
  <si>
    <t>nedskrivninger</t>
  </si>
  <si>
    <t>forbliver uændret</t>
  </si>
  <si>
    <t>"opskrivning ryger under øvrige indkomster"</t>
  </si>
  <si>
    <t>oliefyr</t>
  </si>
  <si>
    <t>acc afskriv</t>
  </si>
  <si>
    <t>cash</t>
  </si>
  <si>
    <t>udgift</t>
  </si>
  <si>
    <t>start</t>
  </si>
  <si>
    <t>justering</t>
  </si>
  <si>
    <t>salg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</si>
</sst>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0.0000"/>
    <numFmt numFmtId="166" formatCode="_(* #,##0.00_);_(* \(#,##0.00\);_(* &quot;-&quot;??_);_(@_)"/>
    <numFmt numFmtId="167" formatCode="_-* #,##0.00\ _k_r_._-;\-* #,##0.00\ _k_r_._-;_-* &quot;-&quot;??\ _k_r_._-;_-@_-"/>
    <numFmt numFmtId="168" formatCode="_-* #,##0\ _k_r_._-;\-* #,##0\ _k_r_._-;_-* &quot;-&quot;??\ _k_r_._-;_-@_-"/>
    <numFmt numFmtId="169" formatCode="_-* #,##0.000\ _k_r_._-;\-* #,##0.000\ _k_r_._-;_-* &quot;-&quot;??\ _k_r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0070C0"/>
      <name val="Times New Roman"/>
      <family val="1"/>
    </font>
    <font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" fontId="0" fillId="0" borderId="7" xfId="0" applyNumberFormat="1" applyBorder="1"/>
    <xf numFmtId="3" fontId="0" fillId="0" borderId="0" xfId="0" applyNumberFormat="1"/>
    <xf numFmtId="3" fontId="0" fillId="0" borderId="8" xfId="0" applyNumberFormat="1" applyBorder="1"/>
    <xf numFmtId="16" fontId="0" fillId="0" borderId="9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3" borderId="7" xfId="0" applyFont="1" applyFill="1" applyBorder="1"/>
    <xf numFmtId="0" fontId="0" fillId="3" borderId="0" xfId="0" applyFill="1"/>
    <xf numFmtId="0" fontId="2" fillId="3" borderId="0" xfId="0" applyFont="1" applyFill="1"/>
    <xf numFmtId="0" fontId="0" fillId="3" borderId="8" xfId="0" applyFill="1" applyBorder="1"/>
    <xf numFmtId="0" fontId="0" fillId="3" borderId="7" xfId="0" applyFill="1" applyBorder="1"/>
    <xf numFmtId="0" fontId="2" fillId="4" borderId="7" xfId="0" applyFont="1" applyFill="1" applyBorder="1"/>
    <xf numFmtId="0" fontId="0" fillId="4" borderId="0" xfId="0" applyFill="1"/>
    <xf numFmtId="0" fontId="2" fillId="4" borderId="0" xfId="0" applyFont="1" applyFill="1"/>
    <xf numFmtId="0" fontId="0" fillId="4" borderId="8" xfId="0" applyFill="1" applyBorder="1"/>
    <xf numFmtId="0" fontId="0" fillId="4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2" fillId="3" borderId="8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6" borderId="0" xfId="0" applyFill="1"/>
    <xf numFmtId="0" fontId="0" fillId="5" borderId="1" xfId="0" applyFill="1" applyBorder="1" applyAlignment="1">
      <alignment wrapText="1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quotePrefix="1" applyFont="1"/>
    <xf numFmtId="0" fontId="6" fillId="0" borderId="0" xfId="0" applyFont="1" applyAlignment="1">
      <alignment horizontal="center" vertical="center"/>
    </xf>
    <xf numFmtId="3" fontId="6" fillId="0" borderId="0" xfId="0" applyNumberFormat="1" applyFont="1"/>
    <xf numFmtId="3" fontId="8" fillId="0" borderId="24" xfId="0" applyNumberFormat="1" applyFont="1" applyBorder="1"/>
    <xf numFmtId="3" fontId="8" fillId="0" borderId="0" xfId="0" applyNumberFormat="1" applyFont="1"/>
    <xf numFmtId="3" fontId="8" fillId="0" borderId="2" xfId="0" applyNumberFormat="1" applyFont="1" applyBorder="1"/>
    <xf numFmtId="3" fontId="6" fillId="0" borderId="2" xfId="0" applyNumberFormat="1" applyFont="1" applyBorder="1"/>
    <xf numFmtId="3" fontId="6" fillId="0" borderId="24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1" fillId="8" borderId="26" xfId="0" applyFont="1" applyFill="1" applyBorder="1" applyAlignment="1">
      <alignment horizontal="center" vertical="center"/>
    </xf>
    <xf numFmtId="0" fontId="6" fillId="0" borderId="26" xfId="0" applyFont="1" applyBorder="1"/>
    <xf numFmtId="3" fontId="6" fillId="0" borderId="26" xfId="0" applyNumberFormat="1" applyFont="1" applyBorder="1"/>
    <xf numFmtId="165" fontId="6" fillId="0" borderId="0" xfId="0" applyNumberFormat="1" applyFont="1"/>
    <xf numFmtId="0" fontId="11" fillId="0" borderId="26" xfId="0" applyFont="1" applyBorder="1"/>
    <xf numFmtId="3" fontId="11" fillId="0" borderId="26" xfId="0" applyNumberFormat="1" applyFont="1" applyBorder="1"/>
    <xf numFmtId="0" fontId="11" fillId="0" borderId="0" xfId="0" applyFont="1" applyAlignment="1">
      <alignment horizontal="center"/>
    </xf>
    <xf numFmtId="0" fontId="9" fillId="7" borderId="26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 wrapText="1" readingOrder="1"/>
    </xf>
    <xf numFmtId="0" fontId="6" fillId="9" borderId="0" xfId="0" applyFont="1" applyFill="1"/>
    <xf numFmtId="3" fontId="6" fillId="9" borderId="26" xfId="0" applyNumberFormat="1" applyFont="1" applyFill="1" applyBorder="1"/>
    <xf numFmtId="0" fontId="6" fillId="10" borderId="0" xfId="0" applyFont="1" applyFill="1"/>
    <xf numFmtId="0" fontId="10" fillId="10" borderId="19" xfId="0" applyFont="1" applyFill="1" applyBorder="1" applyAlignment="1">
      <alignment horizontal="center" vertical="center" wrapText="1"/>
    </xf>
    <xf numFmtId="0" fontId="11" fillId="10" borderId="0" xfId="0" applyFont="1" applyFill="1"/>
    <xf numFmtId="0" fontId="6" fillId="9" borderId="26" xfId="0" applyFont="1" applyFill="1" applyBorder="1" applyAlignment="1">
      <alignment horizontal="center" vertical="center"/>
    </xf>
    <xf numFmtId="3" fontId="6" fillId="9" borderId="27" xfId="0" applyNumberFormat="1" applyFont="1" applyFill="1" applyBorder="1"/>
    <xf numFmtId="164" fontId="11" fillId="10" borderId="26" xfId="0" applyNumberFormat="1" applyFont="1" applyFill="1" applyBorder="1"/>
    <xf numFmtId="0" fontId="11" fillId="0" borderId="0" xfId="0" applyFont="1"/>
    <xf numFmtId="3" fontId="6" fillId="4" borderId="26" xfId="0" applyNumberFormat="1" applyFont="1" applyFill="1" applyBorder="1"/>
    <xf numFmtId="0" fontId="7" fillId="4" borderId="26" xfId="0" applyFont="1" applyFill="1" applyBorder="1" applyAlignment="1">
      <alignment horizontal="left" vertical="center" readingOrder="1"/>
    </xf>
    <xf numFmtId="0" fontId="6" fillId="9" borderId="26" xfId="0" applyFont="1" applyFill="1" applyBorder="1" applyAlignment="1">
      <alignment horizontal="center" vertical="center" wrapText="1"/>
    </xf>
    <xf numFmtId="165" fontId="11" fillId="8" borderId="28" xfId="0" applyNumberFormat="1" applyFont="1" applyFill="1" applyBorder="1"/>
    <xf numFmtId="0" fontId="2" fillId="11" borderId="0" xfId="0" applyFont="1" applyFill="1"/>
    <xf numFmtId="0" fontId="0" fillId="11" borderId="0" xfId="0" applyFill="1"/>
    <xf numFmtId="9" fontId="0" fillId="11" borderId="26" xfId="0" applyNumberFormat="1" applyFill="1" applyBorder="1"/>
    <xf numFmtId="166" fontId="0" fillId="11" borderId="0" xfId="0" applyNumberFormat="1" applyFill="1"/>
    <xf numFmtId="1" fontId="0" fillId="11" borderId="26" xfId="1" applyNumberFormat="1" applyFont="1" applyFill="1" applyBorder="1"/>
    <xf numFmtId="1" fontId="0" fillId="11" borderId="0" xfId="1" applyNumberFormat="1" applyFont="1" applyFill="1"/>
    <xf numFmtId="1" fontId="0" fillId="11" borderId="0" xfId="0" applyNumberFormat="1" applyFill="1"/>
    <xf numFmtId="1" fontId="0" fillId="11" borderId="26" xfId="0" applyNumberFormat="1" applyFill="1" applyBorder="1"/>
    <xf numFmtId="1" fontId="0" fillId="11" borderId="29" xfId="0" applyNumberFormat="1" applyFill="1" applyBorder="1"/>
    <xf numFmtId="1" fontId="0" fillId="11" borderId="3" xfId="0" applyNumberFormat="1" applyFill="1" applyBorder="1"/>
    <xf numFmtId="0" fontId="13" fillId="0" borderId="26" xfId="0" applyFont="1" applyBorder="1"/>
    <xf numFmtId="168" fontId="12" fillId="13" borderId="26" xfId="2" applyNumberFormat="1" applyFont="1" applyFill="1" applyBorder="1"/>
    <xf numFmtId="0" fontId="12" fillId="12" borderId="26" xfId="0" applyFont="1" applyFill="1" applyBorder="1" applyAlignment="1">
      <alignment horizontal="center"/>
    </xf>
    <xf numFmtId="168" fontId="12" fillId="13" borderId="28" xfId="2" applyNumberFormat="1" applyFont="1" applyFill="1" applyBorder="1"/>
    <xf numFmtId="0" fontId="13" fillId="14" borderId="0" xfId="0" applyFont="1" applyFill="1"/>
    <xf numFmtId="0" fontId="12" fillId="0" borderId="0" xfId="0" applyFont="1" applyAlignment="1">
      <alignment horizontal="left"/>
    </xf>
    <xf numFmtId="0" fontId="13" fillId="0" borderId="26" xfId="0" applyFont="1" applyBorder="1" applyAlignment="1">
      <alignment horizontal="left"/>
    </xf>
    <xf numFmtId="168" fontId="12" fillId="0" borderId="26" xfId="2" applyNumberFormat="1" applyFont="1" applyBorder="1" applyAlignment="1">
      <alignment horizontal="left"/>
    </xf>
    <xf numFmtId="168" fontId="12" fillId="4" borderId="26" xfId="2" applyNumberFormat="1" applyFont="1" applyFill="1" applyBorder="1" applyAlignment="1">
      <alignment horizontal="left"/>
    </xf>
    <xf numFmtId="167" fontId="12" fillId="4" borderId="26" xfId="2" applyFont="1" applyFill="1" applyBorder="1" applyAlignment="1">
      <alignment horizontal="left"/>
    </xf>
    <xf numFmtId="0" fontId="13" fillId="0" borderId="26" xfId="0" applyFont="1" applyBorder="1" applyAlignment="1">
      <alignment wrapText="1"/>
    </xf>
    <xf numFmtId="0" fontId="12" fillId="0" borderId="26" xfId="0" applyFont="1" applyBorder="1"/>
    <xf numFmtId="168" fontId="12" fillId="9" borderId="26" xfId="0" applyNumberFormat="1" applyFont="1" applyFill="1" applyBorder="1"/>
    <xf numFmtId="168" fontId="12" fillId="0" borderId="26" xfId="0" applyNumberFormat="1" applyFont="1" applyBorder="1"/>
    <xf numFmtId="168" fontId="12" fillId="0" borderId="30" xfId="2" applyNumberFormat="1" applyFont="1" applyBorder="1" applyAlignment="1">
      <alignment horizontal="left"/>
    </xf>
    <xf numFmtId="0" fontId="13" fillId="0" borderId="26" xfId="0" applyFont="1" applyBorder="1" applyAlignment="1">
      <alignment horizontal="center"/>
    </xf>
    <xf numFmtId="168" fontId="12" fillId="0" borderId="26" xfId="0" applyNumberFormat="1" applyFont="1" applyBorder="1" applyAlignment="1">
      <alignment horizontal="left"/>
    </xf>
    <xf numFmtId="168" fontId="12" fillId="4" borderId="26" xfId="0" applyNumberFormat="1" applyFont="1" applyFill="1" applyBorder="1" applyAlignment="1">
      <alignment horizontal="left"/>
    </xf>
    <xf numFmtId="0" fontId="14" fillId="0" borderId="0" xfId="0" applyFont="1"/>
    <xf numFmtId="168" fontId="12" fillId="15" borderId="26" xfId="0" applyNumberFormat="1" applyFont="1" applyFill="1" applyBorder="1"/>
    <xf numFmtId="1" fontId="0" fillId="0" borderId="0" xfId="1" applyNumberFormat="1" applyFont="1"/>
    <xf numFmtId="0" fontId="0" fillId="16" borderId="0" xfId="0" applyFill="1"/>
    <xf numFmtId="0" fontId="0" fillId="0" borderId="24" xfId="0" applyBorder="1"/>
    <xf numFmtId="3" fontId="0" fillId="0" borderId="24" xfId="0" applyNumberFormat="1" applyBorder="1"/>
    <xf numFmtId="0" fontId="0" fillId="0" borderId="31" xfId="0" applyBorder="1"/>
    <xf numFmtId="0" fontId="0" fillId="0" borderId="0" xfId="0" applyAlignment="1">
      <alignment wrapText="1"/>
    </xf>
    <xf numFmtId="3" fontId="2" fillId="0" borderId="0" xfId="0" applyNumberFormat="1" applyFont="1"/>
    <xf numFmtId="168" fontId="0" fillId="0" borderId="26" xfId="0" applyNumberFormat="1" applyBorder="1"/>
    <xf numFmtId="0" fontId="0" fillId="14" borderId="0" xfId="0" applyFill="1"/>
    <xf numFmtId="3" fontId="0" fillId="14" borderId="0" xfId="0" applyNumberFormat="1" applyFill="1"/>
    <xf numFmtId="169" fontId="12" fillId="4" borderId="26" xfId="2" applyNumberFormat="1" applyFont="1" applyFill="1" applyBorder="1" applyAlignment="1">
      <alignment horizontal="left"/>
    </xf>
    <xf numFmtId="3" fontId="15" fillId="0" borderId="0" xfId="0" applyNumberFormat="1" applyFont="1" applyAlignment="1">
      <alignment horizontal="left" vertical="center" indent="7"/>
    </xf>
    <xf numFmtId="168" fontId="16" fillId="0" borderId="26" xfId="0" applyNumberFormat="1" applyFont="1" applyBorder="1"/>
    <xf numFmtId="0" fontId="0" fillId="0" borderId="32" xfId="0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24" xfId="0" applyBorder="1" applyAlignment="1">
      <alignment horizontal="center"/>
    </xf>
    <xf numFmtId="0" fontId="13" fillId="12" borderId="27" xfId="0" applyFont="1" applyFill="1" applyBorder="1" applyAlignment="1">
      <alignment horizontal="center"/>
    </xf>
    <xf numFmtId="0" fontId="13" fillId="12" borderId="28" xfId="0" applyFont="1" applyFill="1" applyBorder="1" applyAlignment="1">
      <alignment horizontal="center"/>
    </xf>
    <xf numFmtId="0" fontId="13" fillId="14" borderId="0" xfId="0" applyFont="1" applyFill="1" applyAlignment="1">
      <alignment horizontal="left"/>
    </xf>
    <xf numFmtId="3" fontId="0" fillId="0" borderId="31" xfId="0" applyNumberFormat="1" applyBorder="1"/>
    <xf numFmtId="0" fontId="0" fillId="0" borderId="33" xfId="0" applyBorder="1"/>
    <xf numFmtId="0" fontId="0" fillId="0" borderId="34" xfId="0" applyBorder="1"/>
  </cellXfs>
  <cellStyles count="3">
    <cellStyle name="Komma" xfId="1" builtinId="3"/>
    <cellStyle name="Komma 2" xfId="2" xr:uid="{CF63A273-7B05-4363-B5B8-9894D323FF3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AEC4-D1F0-4DB1-B3AF-352E99064813}">
  <dimension ref="B2:L19"/>
  <sheetViews>
    <sheetView workbookViewId="0">
      <selection activeCell="J15" sqref="J15"/>
    </sheetView>
  </sheetViews>
  <sheetFormatPr defaultColWidth="8.85546875" defaultRowHeight="15" x14ac:dyDescent="0.25"/>
  <cols>
    <col min="2" max="2" width="20.42578125" customWidth="1"/>
    <col min="3" max="3" width="11.28515625" customWidth="1"/>
    <col min="4" max="4" width="27.28515625" customWidth="1"/>
    <col min="5" max="5" width="12.140625" customWidth="1"/>
    <col min="8" max="8" width="21.28515625" customWidth="1"/>
    <col min="11" max="11" width="19.85546875" customWidth="1"/>
  </cols>
  <sheetData>
    <row r="2" spans="2:12" ht="18.75" x14ac:dyDescent="0.3">
      <c r="B2" s="124" t="s">
        <v>0</v>
      </c>
      <c r="C2" s="124"/>
      <c r="D2" s="125" t="s">
        <v>1</v>
      </c>
      <c r="E2" s="125"/>
      <c r="F2" s="4"/>
      <c r="H2" s="3" t="s">
        <v>18</v>
      </c>
      <c r="K2" s="3" t="s">
        <v>19</v>
      </c>
    </row>
    <row r="3" spans="2:12" x14ac:dyDescent="0.25">
      <c r="B3" s="3" t="s">
        <v>2</v>
      </c>
      <c r="D3" s="5" t="s">
        <v>11</v>
      </c>
    </row>
    <row r="4" spans="2:12" x14ac:dyDescent="0.25">
      <c r="D4" s="1"/>
      <c r="H4" t="s">
        <v>26</v>
      </c>
      <c r="I4">
        <v>16.399999999999999</v>
      </c>
      <c r="K4" t="s">
        <v>20</v>
      </c>
      <c r="L4">
        <v>77.599999999999994</v>
      </c>
    </row>
    <row r="5" spans="2:12" x14ac:dyDescent="0.25">
      <c r="B5" t="s">
        <v>4</v>
      </c>
      <c r="C5" s="2">
        <v>1.6</v>
      </c>
      <c r="D5" s="1" t="s">
        <v>12</v>
      </c>
      <c r="E5">
        <v>4</v>
      </c>
      <c r="H5" t="s">
        <v>25</v>
      </c>
      <c r="I5">
        <v>27.8</v>
      </c>
    </row>
    <row r="6" spans="2:12" x14ac:dyDescent="0.25">
      <c r="B6" t="s">
        <v>7</v>
      </c>
      <c r="C6">
        <v>10</v>
      </c>
      <c r="D6" s="1"/>
      <c r="H6" s="6" t="s">
        <v>9</v>
      </c>
      <c r="I6" s="6">
        <f>I4+I5</f>
        <v>44.2</v>
      </c>
      <c r="K6" t="s">
        <v>21</v>
      </c>
      <c r="L6">
        <v>1.4</v>
      </c>
    </row>
    <row r="7" spans="2:12" x14ac:dyDescent="0.25">
      <c r="B7" t="s">
        <v>6</v>
      </c>
      <c r="C7">
        <v>5</v>
      </c>
      <c r="D7" s="5" t="s">
        <v>13</v>
      </c>
      <c r="K7" t="s">
        <v>22</v>
      </c>
      <c r="L7">
        <v>35</v>
      </c>
    </row>
    <row r="8" spans="2:12" x14ac:dyDescent="0.25">
      <c r="D8" s="1"/>
      <c r="H8" t="s">
        <v>27</v>
      </c>
      <c r="I8">
        <f>I6-I10</f>
        <v>3</v>
      </c>
      <c r="K8" t="s">
        <v>23</v>
      </c>
      <c r="L8">
        <v>13.4</v>
      </c>
    </row>
    <row r="9" spans="2:12" x14ac:dyDescent="0.25">
      <c r="B9" s="3" t="s">
        <v>8</v>
      </c>
      <c r="D9" s="1" t="s">
        <v>14</v>
      </c>
      <c r="E9">
        <v>6</v>
      </c>
    </row>
    <row r="10" spans="2:12" x14ac:dyDescent="0.25">
      <c r="D10" s="1"/>
      <c r="H10" t="s">
        <v>28</v>
      </c>
      <c r="I10">
        <v>41.2</v>
      </c>
      <c r="K10" t="s">
        <v>24</v>
      </c>
      <c r="L10">
        <f>L4-(L6+L7+L8)</f>
        <v>27.799999999999997</v>
      </c>
    </row>
    <row r="11" spans="2:12" x14ac:dyDescent="0.25">
      <c r="B11" t="s">
        <v>5</v>
      </c>
      <c r="C11">
        <v>30</v>
      </c>
      <c r="D11" s="1"/>
    </row>
    <row r="12" spans="2:12" x14ac:dyDescent="0.25">
      <c r="B12" t="s">
        <v>10</v>
      </c>
      <c r="C12" s="2">
        <v>33.200000000000003</v>
      </c>
      <c r="D12" s="5" t="s">
        <v>15</v>
      </c>
    </row>
    <row r="14" spans="2:12" x14ac:dyDescent="0.25">
      <c r="D14" t="s">
        <v>16</v>
      </c>
      <c r="E14">
        <v>28.6</v>
      </c>
    </row>
    <row r="15" spans="2:12" x14ac:dyDescent="0.25">
      <c r="D15" t="s">
        <v>17</v>
      </c>
      <c r="E15">
        <f>C19-(SUM(E4:E14))</f>
        <v>41.20000000000001</v>
      </c>
    </row>
    <row r="19" spans="2:5" x14ac:dyDescent="0.25">
      <c r="B19" t="s">
        <v>9</v>
      </c>
      <c r="C19">
        <f>SUM(C3:C16)</f>
        <v>79.800000000000011</v>
      </c>
      <c r="D19" t="s">
        <v>9</v>
      </c>
      <c r="E19">
        <f>SUM(E4:E17)</f>
        <v>79.800000000000011</v>
      </c>
    </row>
  </sheetData>
  <mergeCells count="2">
    <mergeCell ref="B2:C2"/>
    <mergeCell ref="D2:E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566F-8247-4345-AEB7-463E0E544C44}">
  <dimension ref="B1:G28"/>
  <sheetViews>
    <sheetView workbookViewId="0">
      <selection activeCell="D33" sqref="D33"/>
    </sheetView>
  </sheetViews>
  <sheetFormatPr defaultColWidth="8.85546875" defaultRowHeight="15" x14ac:dyDescent="0.25"/>
  <cols>
    <col min="2" max="2" width="26.42578125" customWidth="1"/>
    <col min="3" max="3" width="11.140625" customWidth="1"/>
    <col min="5" max="5" width="12" customWidth="1"/>
    <col min="7" max="7" width="11.42578125" customWidth="1"/>
  </cols>
  <sheetData>
    <row r="1" spans="2:7" x14ac:dyDescent="0.25">
      <c r="C1" t="s">
        <v>36</v>
      </c>
      <c r="E1" t="s">
        <v>37</v>
      </c>
      <c r="G1" t="s">
        <v>38</v>
      </c>
    </row>
    <row r="2" spans="2:7" x14ac:dyDescent="0.25">
      <c r="B2" s="3" t="s">
        <v>29</v>
      </c>
    </row>
    <row r="4" spans="2:7" x14ac:dyDescent="0.25">
      <c r="B4" t="s">
        <v>30</v>
      </c>
      <c r="C4">
        <v>160</v>
      </c>
      <c r="E4">
        <v>80</v>
      </c>
      <c r="G4">
        <v>16</v>
      </c>
    </row>
    <row r="5" spans="2:7" x14ac:dyDescent="0.25">
      <c r="B5" t="s">
        <v>3</v>
      </c>
      <c r="C5">
        <v>86</v>
      </c>
      <c r="E5">
        <v>50</v>
      </c>
      <c r="G5">
        <v>2</v>
      </c>
    </row>
    <row r="6" spans="2:7" x14ac:dyDescent="0.25">
      <c r="B6" t="s">
        <v>16</v>
      </c>
      <c r="C6">
        <v>18</v>
      </c>
      <c r="E6">
        <v>6</v>
      </c>
      <c r="G6">
        <v>4</v>
      </c>
    </row>
    <row r="7" spans="2:7" x14ac:dyDescent="0.25">
      <c r="B7" t="s">
        <v>17</v>
      </c>
      <c r="C7">
        <f>C4-C5-C6</f>
        <v>56</v>
      </c>
      <c r="E7">
        <v>24</v>
      </c>
      <c r="G7">
        <v>10</v>
      </c>
    </row>
    <row r="9" spans="2:7" x14ac:dyDescent="0.25">
      <c r="B9" s="3" t="s">
        <v>31</v>
      </c>
    </row>
    <row r="11" spans="2:7" x14ac:dyDescent="0.25">
      <c r="B11" t="s">
        <v>30</v>
      </c>
      <c r="C11">
        <v>168</v>
      </c>
      <c r="E11">
        <v>84</v>
      </c>
      <c r="G11">
        <v>16</v>
      </c>
    </row>
    <row r="12" spans="2:7" x14ac:dyDescent="0.25">
      <c r="B12" t="s">
        <v>3</v>
      </c>
      <c r="C12">
        <v>96</v>
      </c>
      <c r="E12">
        <v>48</v>
      </c>
      <c r="G12">
        <v>0</v>
      </c>
    </row>
    <row r="13" spans="2:7" x14ac:dyDescent="0.25">
      <c r="B13" t="s">
        <v>16</v>
      </c>
      <c r="C13">
        <v>6</v>
      </c>
      <c r="E13">
        <v>4</v>
      </c>
      <c r="G13">
        <v>2</v>
      </c>
    </row>
    <row r="14" spans="2:7" x14ac:dyDescent="0.25">
      <c r="B14" t="s">
        <v>17</v>
      </c>
      <c r="C14">
        <v>66</v>
      </c>
      <c r="E14">
        <v>32</v>
      </c>
      <c r="G14">
        <v>14</v>
      </c>
    </row>
    <row r="16" spans="2:7" x14ac:dyDescent="0.25">
      <c r="B16" s="3" t="s">
        <v>19</v>
      </c>
    </row>
    <row r="18" spans="2:7" x14ac:dyDescent="0.25">
      <c r="B18" t="s">
        <v>32</v>
      </c>
      <c r="C18">
        <v>436</v>
      </c>
      <c r="E18">
        <v>322</v>
      </c>
      <c r="G18">
        <v>24</v>
      </c>
    </row>
    <row r="19" spans="2:7" x14ac:dyDescent="0.25">
      <c r="B19" t="s">
        <v>33</v>
      </c>
      <c r="C19">
        <v>420</v>
      </c>
      <c r="E19">
        <v>304</v>
      </c>
      <c r="G19">
        <v>16</v>
      </c>
    </row>
    <row r="20" spans="2:7" x14ac:dyDescent="0.25">
      <c r="B20" t="s">
        <v>24</v>
      </c>
      <c r="C20">
        <v>16</v>
      </c>
      <c r="E20">
        <v>18</v>
      </c>
      <c r="G20" t="s">
        <v>41</v>
      </c>
    </row>
    <row r="22" spans="2:7" x14ac:dyDescent="0.25">
      <c r="B22" s="3" t="s">
        <v>17</v>
      </c>
    </row>
    <row r="24" spans="2:7" x14ac:dyDescent="0.25">
      <c r="B24" t="s">
        <v>34</v>
      </c>
      <c r="C24">
        <v>56</v>
      </c>
      <c r="E24">
        <v>24</v>
      </c>
      <c r="G24">
        <v>10</v>
      </c>
    </row>
    <row r="25" spans="2:7" x14ac:dyDescent="0.25">
      <c r="B25" t="s">
        <v>35</v>
      </c>
      <c r="C25">
        <v>16</v>
      </c>
      <c r="E25">
        <v>18</v>
      </c>
      <c r="G25">
        <v>8</v>
      </c>
    </row>
    <row r="26" spans="2:7" x14ac:dyDescent="0.25">
      <c r="B26" t="s">
        <v>39</v>
      </c>
      <c r="C26">
        <v>-6</v>
      </c>
      <c r="E26">
        <v>-10</v>
      </c>
      <c r="G26">
        <v>-4</v>
      </c>
    </row>
    <row r="28" spans="2:7" x14ac:dyDescent="0.25">
      <c r="B28" t="s">
        <v>40</v>
      </c>
      <c r="C28">
        <v>66</v>
      </c>
      <c r="E28">
        <v>32</v>
      </c>
      <c r="G2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A5E3-98AB-4B0E-99B6-B66A923A9802}">
  <dimension ref="B1:N29"/>
  <sheetViews>
    <sheetView workbookViewId="0">
      <selection activeCell="M27" sqref="M27"/>
    </sheetView>
  </sheetViews>
  <sheetFormatPr defaultColWidth="8.85546875" defaultRowHeight="15" x14ac:dyDescent="0.25"/>
  <cols>
    <col min="3" max="3" width="24.140625" customWidth="1"/>
  </cols>
  <sheetData>
    <row r="1" spans="2:14" ht="15.75" thickBot="1" x14ac:dyDescent="0.3"/>
    <row r="2" spans="2:14" ht="15.75" thickBot="1" x14ac:dyDescent="0.3">
      <c r="B2" s="128" t="s">
        <v>42</v>
      </c>
      <c r="C2" s="129"/>
      <c r="D2" s="129"/>
      <c r="E2" s="130"/>
    </row>
    <row r="3" spans="2:14" x14ac:dyDescent="0.25">
      <c r="B3" s="8" t="s">
        <v>43</v>
      </c>
      <c r="C3" t="s">
        <v>44</v>
      </c>
      <c r="D3" t="s">
        <v>45</v>
      </c>
      <c r="E3" s="7" t="s">
        <v>46</v>
      </c>
      <c r="G3" s="126" t="s">
        <v>47</v>
      </c>
      <c r="H3" s="127"/>
      <c r="J3" s="126" t="s">
        <v>16</v>
      </c>
      <c r="K3" s="127"/>
      <c r="M3" s="126" t="s">
        <v>23</v>
      </c>
      <c r="N3" s="127"/>
    </row>
    <row r="4" spans="2:14" x14ac:dyDescent="0.25">
      <c r="B4" s="12">
        <v>45293</v>
      </c>
      <c r="C4" t="s">
        <v>47</v>
      </c>
      <c r="D4" s="13">
        <v>28000</v>
      </c>
      <c r="E4" s="7"/>
      <c r="G4" s="16" t="s">
        <v>45</v>
      </c>
      <c r="H4" s="17" t="s">
        <v>46</v>
      </c>
      <c r="J4" s="16" t="s">
        <v>45</v>
      </c>
      <c r="K4" s="17" t="s">
        <v>46</v>
      </c>
      <c r="M4" s="16" t="s">
        <v>45</v>
      </c>
      <c r="N4" s="17" t="s">
        <v>46</v>
      </c>
    </row>
    <row r="5" spans="2:14" x14ac:dyDescent="0.25">
      <c r="B5" s="12">
        <v>45293</v>
      </c>
      <c r="C5" t="s">
        <v>16</v>
      </c>
      <c r="E5" s="14">
        <v>28000</v>
      </c>
      <c r="G5" s="8">
        <v>28000</v>
      </c>
      <c r="H5" s="18"/>
      <c r="J5" s="8"/>
      <c r="K5" s="18">
        <v>28000</v>
      </c>
      <c r="M5" s="8">
        <v>120</v>
      </c>
      <c r="N5" s="18"/>
    </row>
    <row r="6" spans="2:14" ht="15.75" thickBot="1" x14ac:dyDescent="0.3">
      <c r="B6" s="12">
        <v>45294</v>
      </c>
      <c r="C6" t="s">
        <v>48</v>
      </c>
      <c r="D6">
        <v>500</v>
      </c>
      <c r="E6" s="7"/>
      <c r="G6" s="8">
        <v>3000</v>
      </c>
      <c r="H6" s="19"/>
      <c r="J6" s="9"/>
      <c r="K6" s="20"/>
      <c r="M6" s="8">
        <v>120</v>
      </c>
      <c r="N6" s="19"/>
    </row>
    <row r="7" spans="2:14" ht="15.75" thickBot="1" x14ac:dyDescent="0.3">
      <c r="B7" s="12">
        <v>45294</v>
      </c>
      <c r="C7" t="s">
        <v>49</v>
      </c>
      <c r="D7">
        <v>3100</v>
      </c>
      <c r="E7" s="7"/>
      <c r="G7" s="8"/>
      <c r="H7" s="19">
        <v>20000</v>
      </c>
      <c r="M7" s="9"/>
      <c r="N7" s="20"/>
    </row>
    <row r="8" spans="2:14" ht="15.75" thickBot="1" x14ac:dyDescent="0.3">
      <c r="B8" s="12">
        <v>45294</v>
      </c>
      <c r="C8" t="s">
        <v>50</v>
      </c>
      <c r="E8" s="7">
        <v>3600</v>
      </c>
      <c r="G8" s="8"/>
      <c r="H8" s="19">
        <v>3100</v>
      </c>
      <c r="J8" s="126" t="s">
        <v>48</v>
      </c>
      <c r="K8" s="127"/>
    </row>
    <row r="9" spans="2:14" x14ac:dyDescent="0.25">
      <c r="B9" s="12">
        <v>45295</v>
      </c>
      <c r="C9" t="s">
        <v>51</v>
      </c>
      <c r="E9" s="7">
        <v>3000</v>
      </c>
      <c r="G9" s="8"/>
      <c r="H9" s="19">
        <v>120</v>
      </c>
      <c r="J9" s="16" t="s">
        <v>45</v>
      </c>
      <c r="K9" s="17" t="s">
        <v>46</v>
      </c>
      <c r="M9" s="126" t="s">
        <v>57</v>
      </c>
      <c r="N9" s="127"/>
    </row>
    <row r="10" spans="2:14" x14ac:dyDescent="0.25">
      <c r="B10" s="12">
        <v>4</v>
      </c>
      <c r="C10" t="s">
        <v>47</v>
      </c>
      <c r="D10">
        <v>3000</v>
      </c>
      <c r="E10" s="7"/>
      <c r="G10" s="8">
        <v>570</v>
      </c>
      <c r="H10" s="19"/>
      <c r="J10" s="8">
        <v>500</v>
      </c>
      <c r="K10" s="18"/>
      <c r="M10" s="16" t="s">
        <v>45</v>
      </c>
      <c r="N10" s="17" t="s">
        <v>46</v>
      </c>
    </row>
    <row r="11" spans="2:14" ht="15.75" thickBot="1" x14ac:dyDescent="0.3">
      <c r="B11" s="12">
        <v>45298</v>
      </c>
      <c r="C11" t="s">
        <v>47</v>
      </c>
      <c r="E11" s="7">
        <v>20000</v>
      </c>
      <c r="G11" s="8"/>
      <c r="H11" s="19">
        <v>120</v>
      </c>
      <c r="J11" s="9"/>
      <c r="K11" s="20"/>
      <c r="M11" s="8">
        <v>1800</v>
      </c>
      <c r="N11" s="18"/>
    </row>
    <row r="12" spans="2:14" ht="15.75" thickBot="1" x14ac:dyDescent="0.3">
      <c r="B12" s="12">
        <v>45298</v>
      </c>
      <c r="C12" t="s">
        <v>52</v>
      </c>
      <c r="D12">
        <v>20000</v>
      </c>
      <c r="E12" s="7"/>
      <c r="G12" s="8">
        <v>1300</v>
      </c>
      <c r="H12" s="19"/>
      <c r="M12" s="9"/>
      <c r="N12" s="20"/>
    </row>
    <row r="13" spans="2:14" ht="15.75" thickBot="1" x14ac:dyDescent="0.3">
      <c r="B13" s="12">
        <v>45302</v>
      </c>
      <c r="C13" t="s">
        <v>51</v>
      </c>
      <c r="E13" s="7">
        <v>1200</v>
      </c>
      <c r="G13" s="8"/>
      <c r="H13" s="19">
        <v>1800</v>
      </c>
      <c r="J13" s="126" t="s">
        <v>50</v>
      </c>
      <c r="K13" s="127"/>
    </row>
    <row r="14" spans="2:14" x14ac:dyDescent="0.25">
      <c r="B14" s="12">
        <v>45302</v>
      </c>
      <c r="C14" t="s">
        <v>53</v>
      </c>
      <c r="D14">
        <v>1200</v>
      </c>
      <c r="E14" s="7"/>
      <c r="G14" s="8"/>
      <c r="H14" s="19">
        <v>2500</v>
      </c>
      <c r="J14" s="16" t="s">
        <v>45</v>
      </c>
      <c r="K14" s="17" t="s">
        <v>46</v>
      </c>
      <c r="M14" s="126" t="s">
        <v>54</v>
      </c>
      <c r="N14" s="127"/>
    </row>
    <row r="15" spans="2:14" ht="15.75" thickBot="1" x14ac:dyDescent="0.3">
      <c r="B15" s="12">
        <v>45307</v>
      </c>
      <c r="C15" t="s">
        <v>50</v>
      </c>
      <c r="D15">
        <v>3100</v>
      </c>
      <c r="E15" s="7"/>
      <c r="G15" s="131">
        <f>SUM(G5:G14)-SUM(H5:H14)</f>
        <v>5230</v>
      </c>
      <c r="H15" s="132"/>
      <c r="J15" s="8"/>
      <c r="K15" s="18">
        <v>3600</v>
      </c>
      <c r="M15" s="16" t="s">
        <v>45</v>
      </c>
      <c r="N15" s="17" t="s">
        <v>46</v>
      </c>
    </row>
    <row r="16" spans="2:14" ht="15.75" thickBot="1" x14ac:dyDescent="0.3">
      <c r="B16" s="12">
        <v>45307</v>
      </c>
      <c r="C16" t="s">
        <v>47</v>
      </c>
      <c r="E16" s="7">
        <v>3100</v>
      </c>
      <c r="G16" s="126" t="s">
        <v>51</v>
      </c>
      <c r="H16" s="127"/>
      <c r="J16" s="9">
        <v>3100</v>
      </c>
      <c r="K16" s="20"/>
      <c r="M16" s="8">
        <v>2500</v>
      </c>
      <c r="N16" s="18"/>
    </row>
    <row r="17" spans="2:14" ht="15.75" thickBot="1" x14ac:dyDescent="0.3">
      <c r="B17" s="12">
        <v>45308</v>
      </c>
      <c r="C17" t="s">
        <v>47</v>
      </c>
      <c r="E17" s="7">
        <v>120</v>
      </c>
      <c r="G17" s="16" t="s">
        <v>45</v>
      </c>
      <c r="H17" s="17" t="s">
        <v>46</v>
      </c>
      <c r="M17" s="9"/>
      <c r="N17" s="20"/>
    </row>
    <row r="18" spans="2:14" x14ac:dyDescent="0.25">
      <c r="B18" s="12">
        <v>45308</v>
      </c>
      <c r="C18" t="s">
        <v>23</v>
      </c>
      <c r="D18">
        <v>120</v>
      </c>
      <c r="E18" s="7"/>
      <c r="G18" s="8"/>
      <c r="H18" s="18">
        <v>3000</v>
      </c>
      <c r="J18" s="126" t="s">
        <v>55</v>
      </c>
      <c r="K18" s="127"/>
    </row>
    <row r="19" spans="2:14" x14ac:dyDescent="0.25">
      <c r="B19" s="12">
        <v>45309</v>
      </c>
      <c r="C19" t="s">
        <v>47</v>
      </c>
      <c r="D19">
        <v>570</v>
      </c>
      <c r="E19" s="7"/>
      <c r="G19" s="8"/>
      <c r="H19" s="19">
        <v>1200</v>
      </c>
      <c r="J19" s="16" t="s">
        <v>45</v>
      </c>
      <c r="K19" s="17" t="s">
        <v>46</v>
      </c>
    </row>
    <row r="20" spans="2:14" x14ac:dyDescent="0.25">
      <c r="B20" s="12">
        <v>45309</v>
      </c>
      <c r="C20" t="s">
        <v>53</v>
      </c>
      <c r="E20" s="7">
        <v>570</v>
      </c>
      <c r="G20" s="8"/>
      <c r="H20" s="19">
        <v>1300</v>
      </c>
      <c r="J20" s="8">
        <v>20000</v>
      </c>
      <c r="K20" s="18"/>
    </row>
    <row r="21" spans="2:14" ht="15.75" thickBot="1" x14ac:dyDescent="0.3">
      <c r="B21" s="12">
        <v>45313</v>
      </c>
      <c r="C21" t="s">
        <v>23</v>
      </c>
      <c r="D21">
        <v>120</v>
      </c>
      <c r="E21" s="7"/>
      <c r="G21" s="9"/>
      <c r="H21" s="20"/>
      <c r="J21" s="9"/>
      <c r="K21" s="20"/>
    </row>
    <row r="22" spans="2:14" ht="15.75" thickBot="1" x14ac:dyDescent="0.3">
      <c r="B22" s="12">
        <v>45313</v>
      </c>
      <c r="C22" t="s">
        <v>47</v>
      </c>
      <c r="E22" s="7">
        <v>120</v>
      </c>
    </row>
    <row r="23" spans="2:14" x14ac:dyDescent="0.25">
      <c r="B23" s="12">
        <v>45320</v>
      </c>
      <c r="C23" t="s">
        <v>47</v>
      </c>
      <c r="D23">
        <v>1300</v>
      </c>
      <c r="E23" s="7"/>
      <c r="G23" s="126" t="s">
        <v>49</v>
      </c>
      <c r="H23" s="127"/>
      <c r="J23" s="126" t="s">
        <v>56</v>
      </c>
      <c r="K23" s="127"/>
    </row>
    <row r="24" spans="2:14" x14ac:dyDescent="0.25">
      <c r="B24" s="12">
        <v>45320</v>
      </c>
      <c r="C24" t="s">
        <v>51</v>
      </c>
      <c r="E24" s="7">
        <v>1300</v>
      </c>
      <c r="G24" s="16" t="s">
        <v>45</v>
      </c>
      <c r="H24" s="17" t="s">
        <v>46</v>
      </c>
      <c r="J24" s="16" t="s">
        <v>45</v>
      </c>
      <c r="K24" s="17" t="s">
        <v>46</v>
      </c>
    </row>
    <row r="25" spans="2:14" x14ac:dyDescent="0.25">
      <c r="B25" s="12">
        <v>45322</v>
      </c>
      <c r="C25" t="s">
        <v>57</v>
      </c>
      <c r="D25">
        <v>1800</v>
      </c>
      <c r="E25" s="7"/>
      <c r="G25" s="8">
        <v>3100</v>
      </c>
      <c r="H25" s="18"/>
      <c r="J25" s="8">
        <v>1200</v>
      </c>
      <c r="K25" s="18"/>
    </row>
    <row r="26" spans="2:14" x14ac:dyDescent="0.25">
      <c r="B26" s="12">
        <v>45322</v>
      </c>
      <c r="C26" t="s">
        <v>47</v>
      </c>
      <c r="E26" s="7">
        <v>1800</v>
      </c>
      <c r="G26" s="8"/>
      <c r="H26" s="19"/>
      <c r="J26" s="8"/>
      <c r="K26" s="19">
        <v>570</v>
      </c>
    </row>
    <row r="27" spans="2:14" ht="15.75" thickBot="1" x14ac:dyDescent="0.3">
      <c r="B27" s="12">
        <v>45322</v>
      </c>
      <c r="C27" t="s">
        <v>54</v>
      </c>
      <c r="D27">
        <v>2500</v>
      </c>
      <c r="E27" s="7"/>
      <c r="G27" s="9"/>
      <c r="H27" s="11"/>
      <c r="J27" s="9"/>
      <c r="K27" s="20"/>
    </row>
    <row r="28" spans="2:14" ht="15.75" thickBot="1" x14ac:dyDescent="0.3">
      <c r="B28" s="15">
        <v>45322</v>
      </c>
      <c r="C28" s="10" t="s">
        <v>47</v>
      </c>
      <c r="D28" s="10"/>
      <c r="E28" s="11">
        <v>2500</v>
      </c>
    </row>
    <row r="29" spans="2:14" x14ac:dyDescent="0.25">
      <c r="G29">
        <f>SUM(H5:H14)+SUM(H18:H20)+K5+K15+K26</f>
        <v>65310</v>
      </c>
      <c r="H29">
        <f>SUM(G5:G14)+G25+J10+J16+J20+J25+M5+M6+M11+M16</f>
        <v>65310</v>
      </c>
      <c r="I29" t="b">
        <f>G29=H29</f>
        <v>1</v>
      </c>
    </row>
  </sheetData>
  <mergeCells count="13">
    <mergeCell ref="M3:N3"/>
    <mergeCell ref="M9:N9"/>
    <mergeCell ref="M14:N14"/>
    <mergeCell ref="B2:E2"/>
    <mergeCell ref="G15:H15"/>
    <mergeCell ref="G3:H3"/>
    <mergeCell ref="G16:H16"/>
    <mergeCell ref="G23:H23"/>
    <mergeCell ref="J3:K3"/>
    <mergeCell ref="J8:K8"/>
    <mergeCell ref="J13:K13"/>
    <mergeCell ref="J18:K18"/>
    <mergeCell ref="J23:K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3E44-66FC-4A09-B149-3065B9AD04F8}">
  <dimension ref="B1:L24"/>
  <sheetViews>
    <sheetView workbookViewId="0">
      <selection activeCell="J23" sqref="J23"/>
    </sheetView>
  </sheetViews>
  <sheetFormatPr defaultColWidth="8.85546875" defaultRowHeight="15" x14ac:dyDescent="0.25"/>
  <cols>
    <col min="2" max="2" width="43.85546875" customWidth="1"/>
    <col min="3" max="4" width="9.7109375" customWidth="1"/>
    <col min="6" max="6" width="42.42578125" customWidth="1"/>
    <col min="9" max="9" width="29.140625" customWidth="1"/>
    <col min="10" max="10" width="11.42578125" customWidth="1"/>
    <col min="11" max="11" width="23.42578125" customWidth="1"/>
    <col min="12" max="12" width="10.85546875" customWidth="1"/>
  </cols>
  <sheetData>
    <row r="1" spans="2:12" ht="15.75" thickBot="1" x14ac:dyDescent="0.3"/>
    <row r="2" spans="2:12" x14ac:dyDescent="0.25">
      <c r="B2" s="135" t="s">
        <v>58</v>
      </c>
      <c r="C2" s="136"/>
      <c r="D2" s="137"/>
    </row>
    <row r="3" spans="2:12" ht="15.75" thickBot="1" x14ac:dyDescent="0.3">
      <c r="B3" s="21" t="s">
        <v>59</v>
      </c>
      <c r="C3" s="133" t="s">
        <v>64</v>
      </c>
      <c r="D3" s="134"/>
    </row>
    <row r="4" spans="2:12" x14ac:dyDescent="0.25">
      <c r="B4" s="21" t="s">
        <v>63</v>
      </c>
      <c r="C4" s="23" t="s">
        <v>45</v>
      </c>
      <c r="D4" s="37" t="s">
        <v>46</v>
      </c>
      <c r="F4" s="138" t="s">
        <v>19</v>
      </c>
      <c r="G4" s="139"/>
      <c r="I4" s="138" t="s">
        <v>79</v>
      </c>
      <c r="J4" s="143"/>
      <c r="K4" s="143"/>
      <c r="L4" s="139"/>
    </row>
    <row r="5" spans="2:12" x14ac:dyDescent="0.25">
      <c r="B5" s="30"/>
      <c r="C5" s="27"/>
      <c r="D5" s="29"/>
      <c r="F5" s="30"/>
      <c r="G5" s="29"/>
      <c r="I5" s="140" t="s">
        <v>30</v>
      </c>
      <c r="J5" s="141"/>
      <c r="K5" s="141" t="s">
        <v>3</v>
      </c>
      <c r="L5" s="142"/>
    </row>
    <row r="6" spans="2:12" x14ac:dyDescent="0.25">
      <c r="B6" s="30" t="s">
        <v>47</v>
      </c>
      <c r="C6" s="27">
        <v>7200</v>
      </c>
      <c r="D6" s="29"/>
      <c r="F6" s="30" t="s">
        <v>20</v>
      </c>
      <c r="G6" s="29">
        <v>81800</v>
      </c>
      <c r="I6" s="26" t="s">
        <v>2</v>
      </c>
      <c r="J6" s="27"/>
      <c r="K6" s="28" t="s">
        <v>3</v>
      </c>
      <c r="L6" s="29"/>
    </row>
    <row r="7" spans="2:12" x14ac:dyDescent="0.25">
      <c r="B7" s="30" t="s">
        <v>60</v>
      </c>
      <c r="C7" s="27">
        <v>3200</v>
      </c>
      <c r="D7" s="29"/>
      <c r="F7" s="30"/>
      <c r="G7" s="29"/>
      <c r="I7" s="30"/>
      <c r="J7" s="27"/>
      <c r="K7" s="27"/>
      <c r="L7" s="29"/>
    </row>
    <row r="8" spans="2:12" x14ac:dyDescent="0.25">
      <c r="B8" s="30" t="s">
        <v>7</v>
      </c>
      <c r="C8" s="27">
        <v>2600</v>
      </c>
      <c r="D8" s="29"/>
      <c r="F8" s="30" t="s">
        <v>71</v>
      </c>
      <c r="G8" s="29">
        <v>52800</v>
      </c>
      <c r="I8" s="30" t="s">
        <v>47</v>
      </c>
      <c r="J8" s="27">
        <v>7200</v>
      </c>
      <c r="K8" s="27" t="s">
        <v>82</v>
      </c>
      <c r="L8" s="29">
        <v>15800</v>
      </c>
    </row>
    <row r="9" spans="2:12" x14ac:dyDescent="0.25">
      <c r="B9" s="30" t="s">
        <v>62</v>
      </c>
      <c r="C9" s="27">
        <v>3400</v>
      </c>
      <c r="D9" s="29"/>
      <c r="F9" s="30" t="s">
        <v>74</v>
      </c>
      <c r="G9" s="29">
        <v>21000</v>
      </c>
      <c r="I9" s="30" t="s">
        <v>7</v>
      </c>
      <c r="J9" s="27">
        <v>2600</v>
      </c>
      <c r="K9" s="27" t="s">
        <v>67</v>
      </c>
      <c r="L9" s="29">
        <v>2000</v>
      </c>
    </row>
    <row r="10" spans="2:12" x14ac:dyDescent="0.25">
      <c r="B10" s="30" t="s">
        <v>61</v>
      </c>
      <c r="C10" s="27">
        <v>13600</v>
      </c>
      <c r="D10" s="29"/>
      <c r="F10" s="30" t="s">
        <v>73</v>
      </c>
      <c r="G10" s="29">
        <v>4800</v>
      </c>
      <c r="I10" s="30" t="s">
        <v>60</v>
      </c>
      <c r="J10" s="27">
        <v>3200</v>
      </c>
      <c r="K10" s="27" t="s">
        <v>68</v>
      </c>
      <c r="L10" s="29">
        <v>5600</v>
      </c>
    </row>
    <row r="11" spans="2:12" x14ac:dyDescent="0.25">
      <c r="B11" s="30" t="s">
        <v>65</v>
      </c>
      <c r="C11" s="27"/>
      <c r="D11" s="29">
        <v>5600</v>
      </c>
      <c r="F11" s="30"/>
      <c r="G11" s="29"/>
      <c r="I11" s="30" t="s">
        <v>81</v>
      </c>
      <c r="J11" s="27">
        <v>3400</v>
      </c>
      <c r="K11" s="27"/>
      <c r="L11" s="29"/>
    </row>
    <row r="12" spans="2:12" ht="15.75" thickBot="1" x14ac:dyDescent="0.3">
      <c r="B12" s="30" t="s">
        <v>66</v>
      </c>
      <c r="C12" s="27">
        <v>19200</v>
      </c>
      <c r="D12" s="29"/>
      <c r="F12" s="31" t="s">
        <v>24</v>
      </c>
      <c r="G12" s="33">
        <f>G6-G8-G9-G10</f>
        <v>3200</v>
      </c>
      <c r="I12" s="30"/>
      <c r="J12" s="27"/>
      <c r="K12" s="28"/>
      <c r="L12" s="29"/>
    </row>
    <row r="13" spans="2:12" x14ac:dyDescent="0.25">
      <c r="B13" s="30" t="s">
        <v>50</v>
      </c>
      <c r="C13" s="27"/>
      <c r="D13" s="29">
        <v>15800</v>
      </c>
      <c r="I13" s="21" t="s">
        <v>80</v>
      </c>
      <c r="J13" s="22"/>
      <c r="K13" s="23" t="s">
        <v>15</v>
      </c>
      <c r="L13" s="24"/>
    </row>
    <row r="14" spans="2:12" ht="15.75" thickBot="1" x14ac:dyDescent="0.3">
      <c r="B14" s="30" t="s">
        <v>67</v>
      </c>
      <c r="C14" s="27"/>
      <c r="D14" s="29">
        <v>2000</v>
      </c>
      <c r="I14" s="30"/>
      <c r="J14" s="27"/>
      <c r="K14" s="27"/>
      <c r="L14" s="29"/>
    </row>
    <row r="15" spans="2:12" x14ac:dyDescent="0.25">
      <c r="B15" s="30" t="s">
        <v>68</v>
      </c>
      <c r="C15" s="27"/>
      <c r="D15" s="29">
        <v>5600</v>
      </c>
      <c r="F15" s="138" t="s">
        <v>75</v>
      </c>
      <c r="G15" s="139"/>
      <c r="I15" s="30" t="s">
        <v>61</v>
      </c>
      <c r="J15" s="27">
        <v>13600</v>
      </c>
      <c r="K15" s="27" t="s">
        <v>16</v>
      </c>
      <c r="L15" s="29">
        <v>9800</v>
      </c>
    </row>
    <row r="16" spans="2:12" x14ac:dyDescent="0.25">
      <c r="B16" s="30" t="s">
        <v>16</v>
      </c>
      <c r="C16" s="27"/>
      <c r="D16" s="29">
        <v>9800</v>
      </c>
      <c r="F16" s="30"/>
      <c r="G16" s="29"/>
      <c r="I16" s="30" t="s">
        <v>66</v>
      </c>
      <c r="J16" s="27">
        <v>19200</v>
      </c>
      <c r="K16" s="27" t="s">
        <v>28</v>
      </c>
      <c r="L16" s="29">
        <v>10400</v>
      </c>
    </row>
    <row r="17" spans="2:12" x14ac:dyDescent="0.25">
      <c r="B17" s="30" t="s">
        <v>69</v>
      </c>
      <c r="C17" s="27"/>
      <c r="D17" s="29">
        <v>9600</v>
      </c>
      <c r="F17" s="30" t="s">
        <v>78</v>
      </c>
      <c r="G17" s="29">
        <f>D17+D16</f>
        <v>19400</v>
      </c>
      <c r="I17" s="30" t="s">
        <v>65</v>
      </c>
      <c r="J17" s="27">
        <v>-5600</v>
      </c>
      <c r="K17" s="27"/>
      <c r="L17" s="29"/>
    </row>
    <row r="18" spans="2:12" x14ac:dyDescent="0.25">
      <c r="B18" s="30" t="s">
        <v>54</v>
      </c>
      <c r="C18" s="27">
        <v>2400</v>
      </c>
      <c r="D18" s="29"/>
      <c r="F18" s="30" t="s">
        <v>76</v>
      </c>
      <c r="G18" s="29">
        <f>G12</f>
        <v>3200</v>
      </c>
      <c r="I18" s="30"/>
      <c r="J18" s="27"/>
      <c r="K18" s="27"/>
      <c r="L18" s="29"/>
    </row>
    <row r="19" spans="2:12" ht="15.75" thickBot="1" x14ac:dyDescent="0.3">
      <c r="B19" s="30" t="s">
        <v>70</v>
      </c>
      <c r="C19" s="27"/>
      <c r="D19" s="29">
        <v>81800</v>
      </c>
      <c r="F19" s="30" t="s">
        <v>54</v>
      </c>
      <c r="G19" s="29">
        <v>2400</v>
      </c>
      <c r="I19" s="34" t="s">
        <v>9</v>
      </c>
      <c r="J19" s="35">
        <f>SUM(J8:J17)</f>
        <v>43600</v>
      </c>
      <c r="K19" s="35"/>
      <c r="L19" s="36">
        <f>SUM(L8:L17)</f>
        <v>43600</v>
      </c>
    </row>
    <row r="20" spans="2:12" ht="15.75" thickTop="1" x14ac:dyDescent="0.25">
      <c r="B20" s="30" t="s">
        <v>71</v>
      </c>
      <c r="C20" s="27">
        <v>52800</v>
      </c>
      <c r="D20" s="29"/>
      <c r="F20" s="30"/>
      <c r="G20" s="29"/>
    </row>
    <row r="21" spans="2:12" ht="15.75" thickBot="1" x14ac:dyDescent="0.3">
      <c r="B21" s="30" t="s">
        <v>72</v>
      </c>
      <c r="C21" s="27">
        <v>21000</v>
      </c>
      <c r="D21" s="29"/>
      <c r="F21" s="31" t="s">
        <v>77</v>
      </c>
      <c r="G21" s="33">
        <f>G17+G18-G19</f>
        <v>20200</v>
      </c>
    </row>
    <row r="22" spans="2:12" x14ac:dyDescent="0.25">
      <c r="B22" s="30" t="s">
        <v>73</v>
      </c>
      <c r="C22" s="27">
        <v>4800</v>
      </c>
      <c r="D22" s="29"/>
    </row>
    <row r="23" spans="2:12" x14ac:dyDescent="0.25">
      <c r="B23" s="30"/>
      <c r="C23" s="27"/>
      <c r="D23" s="29"/>
    </row>
    <row r="24" spans="2:12" ht="15.75" thickBot="1" x14ac:dyDescent="0.3">
      <c r="B24" s="31" t="s">
        <v>9</v>
      </c>
      <c r="C24" s="32">
        <f>SUM(C5:C22)</f>
        <v>130200</v>
      </c>
      <c r="D24" s="33">
        <f>SUM(D5:D22)</f>
        <v>130200</v>
      </c>
    </row>
  </sheetData>
  <mergeCells count="7">
    <mergeCell ref="C3:D3"/>
    <mergeCell ref="B2:D2"/>
    <mergeCell ref="F15:G15"/>
    <mergeCell ref="I5:J5"/>
    <mergeCell ref="K5:L5"/>
    <mergeCell ref="I4:L4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E745-875A-4E33-942A-5C56441C419D}">
  <dimension ref="B1:F12"/>
  <sheetViews>
    <sheetView zoomScale="120" zoomScaleNormal="120" workbookViewId="0">
      <selection activeCell="E23" sqref="E23"/>
    </sheetView>
  </sheetViews>
  <sheetFormatPr defaultColWidth="8.85546875" defaultRowHeight="15" x14ac:dyDescent="0.25"/>
  <cols>
    <col min="2" max="2" width="42.42578125" customWidth="1"/>
    <col min="3" max="3" width="10.28515625" customWidth="1"/>
    <col min="5" max="5" width="23.140625" customWidth="1"/>
    <col min="6" max="6" width="16.42578125" customWidth="1"/>
  </cols>
  <sheetData>
    <row r="1" spans="2:6" ht="15.75" thickBot="1" x14ac:dyDescent="0.3"/>
    <row r="2" spans="2:6" x14ac:dyDescent="0.25">
      <c r="B2" s="138" t="s">
        <v>19</v>
      </c>
      <c r="C2" s="139"/>
      <c r="E2" s="138" t="s">
        <v>75</v>
      </c>
      <c r="F2" s="139"/>
    </row>
    <row r="3" spans="2:6" x14ac:dyDescent="0.25">
      <c r="B3" s="30" t="s">
        <v>83</v>
      </c>
      <c r="C3" s="29">
        <v>49600</v>
      </c>
      <c r="E3" s="30"/>
      <c r="F3" s="29"/>
    </row>
    <row r="4" spans="2:6" x14ac:dyDescent="0.25">
      <c r="B4" s="30" t="s">
        <v>84</v>
      </c>
      <c r="C4" s="29">
        <v>1800</v>
      </c>
      <c r="E4" s="30" t="s">
        <v>78</v>
      </c>
      <c r="F4" s="29">
        <v>5000</v>
      </c>
    </row>
    <row r="5" spans="2:6" x14ac:dyDescent="0.25">
      <c r="B5" s="25" t="s">
        <v>85</v>
      </c>
      <c r="C5" s="24">
        <f>SUM(C3:C4)</f>
        <v>51400</v>
      </c>
      <c r="E5" s="30" t="s">
        <v>76</v>
      </c>
      <c r="F5" s="29">
        <f>C12</f>
        <v>4600</v>
      </c>
    </row>
    <row r="6" spans="2:6" x14ac:dyDescent="0.25">
      <c r="B6" s="30" t="s">
        <v>71</v>
      </c>
      <c r="C6" s="29">
        <v>23200</v>
      </c>
      <c r="E6" s="30" t="s">
        <v>54</v>
      </c>
      <c r="F6" s="29">
        <v>1600</v>
      </c>
    </row>
    <row r="7" spans="2:6" x14ac:dyDescent="0.25">
      <c r="B7" s="30" t="s">
        <v>86</v>
      </c>
      <c r="C7" s="29">
        <v>12800</v>
      </c>
      <c r="E7" s="30"/>
      <c r="F7" s="29"/>
    </row>
    <row r="8" spans="2:6" ht="15.75" thickBot="1" x14ac:dyDescent="0.3">
      <c r="B8" s="30" t="s">
        <v>73</v>
      </c>
      <c r="C8" s="29">
        <v>1400</v>
      </c>
      <c r="E8" s="31" t="s">
        <v>77</v>
      </c>
      <c r="F8" s="33">
        <f>F4+F5-F6</f>
        <v>8000</v>
      </c>
    </row>
    <row r="9" spans="2:6" x14ac:dyDescent="0.25">
      <c r="B9" s="30" t="s">
        <v>87</v>
      </c>
      <c r="C9" s="29">
        <v>9400</v>
      </c>
    </row>
    <row r="10" spans="2:6" x14ac:dyDescent="0.25">
      <c r="B10" s="30"/>
      <c r="C10" s="29"/>
    </row>
    <row r="11" spans="2:6" x14ac:dyDescent="0.25">
      <c r="B11" s="25" t="s">
        <v>88</v>
      </c>
      <c r="C11" s="24">
        <f>SUM(C6:C9)</f>
        <v>46800</v>
      </c>
    </row>
    <row r="12" spans="2:6" ht="15.75" thickBot="1" x14ac:dyDescent="0.3">
      <c r="B12" s="38" t="s">
        <v>24</v>
      </c>
      <c r="C12" s="39">
        <f>C5-C11</f>
        <v>4600</v>
      </c>
    </row>
  </sheetData>
  <mergeCells count="2">
    <mergeCell ref="B2:C2"/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9525-83D8-4E11-AB20-A52EDB1A046A}">
  <dimension ref="B2:S17"/>
  <sheetViews>
    <sheetView topLeftCell="B2" zoomScaleNormal="100" workbookViewId="0">
      <selection activeCell="J37" sqref="J37"/>
    </sheetView>
  </sheetViews>
  <sheetFormatPr defaultColWidth="8.85546875" defaultRowHeight="15" x14ac:dyDescent="0.25"/>
  <cols>
    <col min="2" max="2" width="17.42578125" customWidth="1"/>
    <col min="5" max="5" width="10.140625" customWidth="1"/>
    <col min="6" max="6" width="10" customWidth="1"/>
    <col min="13" max="13" width="49.28515625" customWidth="1"/>
    <col min="18" max="18" width="42.85546875" customWidth="1"/>
    <col min="19" max="19" width="13.28515625" customWidth="1"/>
  </cols>
  <sheetData>
    <row r="2" spans="2:19" x14ac:dyDescent="0.25">
      <c r="C2" s="144" t="s">
        <v>30</v>
      </c>
      <c r="D2" s="144"/>
      <c r="E2" s="144"/>
      <c r="F2" s="144"/>
      <c r="G2" s="144"/>
      <c r="H2" s="144" t="s">
        <v>1</v>
      </c>
      <c r="I2" s="144"/>
      <c r="J2" s="144"/>
      <c r="K2" s="144"/>
      <c r="L2" s="144"/>
      <c r="M2" s="144"/>
    </row>
    <row r="3" spans="2:19" ht="31.5" customHeight="1" thickBot="1" x14ac:dyDescent="0.3">
      <c r="B3" t="s">
        <v>89</v>
      </c>
      <c r="C3" s="22" t="s">
        <v>90</v>
      </c>
      <c r="D3" s="22" t="s">
        <v>91</v>
      </c>
      <c r="E3" s="40" t="s">
        <v>60</v>
      </c>
      <c r="F3" s="22" t="s">
        <v>49</v>
      </c>
      <c r="G3" s="22" t="s">
        <v>92</v>
      </c>
      <c r="H3" s="44" t="s">
        <v>50</v>
      </c>
      <c r="I3" s="41" t="s">
        <v>93</v>
      </c>
      <c r="J3" s="41" t="s">
        <v>94</v>
      </c>
      <c r="K3" s="43" t="s">
        <v>96</v>
      </c>
      <c r="L3" s="42" t="s">
        <v>95</v>
      </c>
      <c r="M3" s="42" t="s">
        <v>98</v>
      </c>
      <c r="N3" t="s">
        <v>100</v>
      </c>
    </row>
    <row r="4" spans="2:19" x14ac:dyDescent="0.25">
      <c r="B4" t="s">
        <v>97</v>
      </c>
      <c r="C4">
        <v>25</v>
      </c>
      <c r="D4">
        <v>125</v>
      </c>
      <c r="E4">
        <v>0</v>
      </c>
      <c r="F4">
        <v>850</v>
      </c>
      <c r="G4">
        <v>-250</v>
      </c>
      <c r="H4" s="1">
        <v>100</v>
      </c>
      <c r="I4">
        <v>250</v>
      </c>
      <c r="J4">
        <v>40</v>
      </c>
      <c r="K4">
        <v>0</v>
      </c>
      <c r="L4">
        <v>300</v>
      </c>
      <c r="M4">
        <v>60</v>
      </c>
      <c r="R4" s="138" t="s">
        <v>19</v>
      </c>
      <c r="S4" s="139"/>
    </row>
    <row r="5" spans="2:19" x14ac:dyDescent="0.25">
      <c r="B5" s="45">
        <v>1</v>
      </c>
      <c r="C5">
        <v>950</v>
      </c>
      <c r="H5" s="1"/>
      <c r="M5">
        <v>950</v>
      </c>
      <c r="N5" t="s">
        <v>101</v>
      </c>
      <c r="R5" s="30" t="s">
        <v>83</v>
      </c>
      <c r="S5" s="29">
        <v>950</v>
      </c>
    </row>
    <row r="6" spans="2:19" x14ac:dyDescent="0.25">
      <c r="B6" s="45">
        <v>2</v>
      </c>
      <c r="C6">
        <v>-300</v>
      </c>
      <c r="D6">
        <v>325</v>
      </c>
      <c r="H6" s="1">
        <v>25</v>
      </c>
      <c r="R6" s="30" t="s">
        <v>84</v>
      </c>
      <c r="S6" s="29"/>
    </row>
    <row r="7" spans="2:19" x14ac:dyDescent="0.25">
      <c r="B7" s="45">
        <v>3</v>
      </c>
      <c r="C7">
        <v>-40</v>
      </c>
      <c r="F7">
        <v>50</v>
      </c>
      <c r="H7" s="1">
        <v>10</v>
      </c>
      <c r="R7" s="25" t="s">
        <v>85</v>
      </c>
      <c r="S7" s="24">
        <f>SUM(S5:S6)</f>
        <v>950</v>
      </c>
    </row>
    <row r="8" spans="2:19" x14ac:dyDescent="0.25">
      <c r="B8" s="45">
        <v>4</v>
      </c>
      <c r="C8">
        <v>-15</v>
      </c>
      <c r="H8" s="1">
        <v>-75</v>
      </c>
      <c r="I8">
        <v>60</v>
      </c>
      <c r="R8" s="30" t="s">
        <v>71</v>
      </c>
      <c r="S8" s="29">
        <v>300</v>
      </c>
    </row>
    <row r="9" spans="2:19" x14ac:dyDescent="0.25">
      <c r="B9" s="45">
        <v>5</v>
      </c>
      <c r="C9">
        <v>-90</v>
      </c>
      <c r="H9" s="1"/>
      <c r="M9">
        <v>-90</v>
      </c>
      <c r="N9" t="s">
        <v>99</v>
      </c>
      <c r="R9" s="30" t="s">
        <v>107</v>
      </c>
      <c r="S9" s="29">
        <v>320</v>
      </c>
    </row>
    <row r="10" spans="2:19" x14ac:dyDescent="0.25">
      <c r="B10" s="45">
        <v>6</v>
      </c>
      <c r="H10" s="1"/>
      <c r="I10">
        <v>320</v>
      </c>
      <c r="M10">
        <v>-320</v>
      </c>
      <c r="N10" t="s">
        <v>102</v>
      </c>
      <c r="R10" s="30" t="s">
        <v>23</v>
      </c>
      <c r="S10" s="29">
        <f>90+90</f>
        <v>180</v>
      </c>
    </row>
    <row r="11" spans="2:19" x14ac:dyDescent="0.25">
      <c r="B11" s="45">
        <v>7</v>
      </c>
      <c r="H11" s="1"/>
      <c r="I11">
        <v>20</v>
      </c>
      <c r="J11">
        <v>-20</v>
      </c>
      <c r="R11" s="30" t="s">
        <v>87</v>
      </c>
      <c r="S11" s="29">
        <v>100</v>
      </c>
    </row>
    <row r="12" spans="2:19" x14ac:dyDescent="0.25">
      <c r="B12" s="45">
        <v>8</v>
      </c>
      <c r="C12">
        <v>-90</v>
      </c>
      <c r="H12" s="1"/>
      <c r="M12">
        <v>-90</v>
      </c>
      <c r="N12" t="s">
        <v>103</v>
      </c>
      <c r="R12" s="30"/>
      <c r="S12" s="29"/>
    </row>
    <row r="13" spans="2:19" x14ac:dyDescent="0.25">
      <c r="B13" s="45">
        <v>9</v>
      </c>
      <c r="C13">
        <v>-420</v>
      </c>
      <c r="H13" s="1"/>
      <c r="I13">
        <v>-420</v>
      </c>
      <c r="R13" s="25" t="s">
        <v>88</v>
      </c>
      <c r="S13" s="24">
        <f>SUM(S8:S11)</f>
        <v>900</v>
      </c>
    </row>
    <row r="14" spans="2:19" ht="15.75" thickBot="1" x14ac:dyDescent="0.3">
      <c r="B14" s="45">
        <v>10</v>
      </c>
      <c r="D14">
        <v>-300</v>
      </c>
      <c r="H14" s="1"/>
      <c r="M14">
        <v>-300</v>
      </c>
      <c r="N14" t="s">
        <v>104</v>
      </c>
      <c r="R14" s="38" t="s">
        <v>24</v>
      </c>
      <c r="S14" s="39">
        <f>S7-S13</f>
        <v>50</v>
      </c>
    </row>
    <row r="15" spans="2:19" x14ac:dyDescent="0.25">
      <c r="B15" s="45">
        <v>11</v>
      </c>
      <c r="G15">
        <v>-100</v>
      </c>
      <c r="H15" s="1"/>
      <c r="M15">
        <v>-100</v>
      </c>
      <c r="N15" t="s">
        <v>105</v>
      </c>
    </row>
    <row r="16" spans="2:19" x14ac:dyDescent="0.25">
      <c r="H16" s="1"/>
    </row>
    <row r="17" spans="2:13" x14ac:dyDescent="0.25">
      <c r="B17" t="s">
        <v>106</v>
      </c>
      <c r="C17">
        <f>SUM(C4:C15)</f>
        <v>20</v>
      </c>
      <c r="D17">
        <f t="shared" ref="D17:L17" si="0">SUM(D4:D15)</f>
        <v>150</v>
      </c>
      <c r="E17">
        <f t="shared" si="0"/>
        <v>0</v>
      </c>
      <c r="F17">
        <f t="shared" si="0"/>
        <v>900</v>
      </c>
      <c r="G17">
        <f t="shared" si="0"/>
        <v>-350</v>
      </c>
      <c r="H17">
        <f t="shared" si="0"/>
        <v>60</v>
      </c>
      <c r="I17">
        <f t="shared" si="0"/>
        <v>230</v>
      </c>
      <c r="J17">
        <f t="shared" si="0"/>
        <v>20</v>
      </c>
      <c r="K17">
        <f t="shared" si="0"/>
        <v>0</v>
      </c>
      <c r="L17">
        <f t="shared" si="0"/>
        <v>300</v>
      </c>
      <c r="M17">
        <f>SUM(M4:M15)</f>
        <v>110</v>
      </c>
    </row>
  </sheetData>
  <mergeCells count="3">
    <mergeCell ref="C2:G2"/>
    <mergeCell ref="H2:M2"/>
    <mergeCell ref="R4:S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ACA6-5642-4502-87FF-05C3EC202896}">
  <dimension ref="B2:O54"/>
  <sheetViews>
    <sheetView topLeftCell="A30" zoomScaleNormal="100" workbookViewId="0">
      <selection activeCell="E33" sqref="E33"/>
    </sheetView>
  </sheetViews>
  <sheetFormatPr defaultColWidth="8.85546875" defaultRowHeight="15" x14ac:dyDescent="0.25"/>
  <cols>
    <col min="3" max="3" width="14.140625" customWidth="1"/>
    <col min="4" max="4" width="13.7109375" customWidth="1"/>
    <col min="5" max="5" width="11.42578125" customWidth="1"/>
    <col min="6" max="7" width="11" bestFit="1" customWidth="1"/>
    <col min="11" max="11" width="16" customWidth="1"/>
    <col min="12" max="15" width="10.140625" bestFit="1" customWidth="1"/>
  </cols>
  <sheetData>
    <row r="2" spans="2:15" ht="15.75" x14ac:dyDescent="0.25">
      <c r="E2" s="63" t="s">
        <v>108</v>
      </c>
      <c r="J2" s="47"/>
      <c r="K2" s="46"/>
      <c r="L2" s="46"/>
    </row>
    <row r="3" spans="2:15" ht="16.5" thickBot="1" x14ac:dyDescent="0.3">
      <c r="C3" s="145" t="s">
        <v>109</v>
      </c>
      <c r="D3" s="145"/>
      <c r="E3" s="145"/>
      <c r="F3" s="67" t="s">
        <v>110</v>
      </c>
      <c r="G3" s="67"/>
      <c r="J3" s="47"/>
      <c r="K3" s="46"/>
      <c r="L3" s="46"/>
    </row>
    <row r="4" spans="2:15" ht="78" customHeight="1" thickBot="1" x14ac:dyDescent="0.3">
      <c r="B4" s="64" t="s">
        <v>111</v>
      </c>
      <c r="C4" s="65" t="s">
        <v>47</v>
      </c>
      <c r="D4" s="64" t="s">
        <v>112</v>
      </c>
      <c r="E4" s="66" t="s">
        <v>113</v>
      </c>
      <c r="F4" s="72" t="s">
        <v>15</v>
      </c>
      <c r="G4" s="78" t="s">
        <v>126</v>
      </c>
      <c r="H4" s="64" t="s">
        <v>114</v>
      </c>
      <c r="I4" s="70" t="s">
        <v>115</v>
      </c>
      <c r="J4" s="48"/>
      <c r="K4" s="48"/>
      <c r="L4" s="48"/>
      <c r="M4" s="48"/>
      <c r="N4" s="48"/>
      <c r="O4" s="48"/>
    </row>
    <row r="5" spans="2:15" ht="15.75" x14ac:dyDescent="0.25">
      <c r="B5" s="55" t="s">
        <v>116</v>
      </c>
      <c r="C5" s="76">
        <v>-700000</v>
      </c>
      <c r="D5" s="76">
        <v>700000</v>
      </c>
      <c r="E5" s="77"/>
      <c r="F5" s="68"/>
      <c r="G5" s="68"/>
      <c r="I5" s="69"/>
      <c r="K5" s="57" t="s">
        <v>111</v>
      </c>
      <c r="L5" s="57">
        <v>1</v>
      </c>
      <c r="M5" s="57">
        <v>2</v>
      </c>
      <c r="N5" s="57">
        <v>3</v>
      </c>
      <c r="O5" s="57" t="s">
        <v>125</v>
      </c>
    </row>
    <row r="6" spans="2:15" ht="15.75" x14ac:dyDescent="0.25">
      <c r="B6" s="55"/>
      <c r="C6" s="76"/>
      <c r="D6" s="76"/>
      <c r="E6" s="76">
        <v>840000</v>
      </c>
      <c r="F6" s="73">
        <f>O6*H6</f>
        <v>840000.00000000012</v>
      </c>
      <c r="G6" s="68"/>
      <c r="H6" s="79">
        <f>D5/L11</f>
        <v>0.28000000000000003</v>
      </c>
      <c r="I6" s="74">
        <f>H6</f>
        <v>0.28000000000000003</v>
      </c>
      <c r="K6" s="58" t="s">
        <v>117</v>
      </c>
      <c r="L6" s="59">
        <v>1000000</v>
      </c>
      <c r="M6" s="59">
        <v>1000000</v>
      </c>
      <c r="N6" s="59">
        <v>1000000</v>
      </c>
      <c r="O6" s="59">
        <f>SUM(L6:N6)</f>
        <v>3000000</v>
      </c>
    </row>
    <row r="7" spans="2:15" ht="15.75" x14ac:dyDescent="0.25">
      <c r="B7" s="55"/>
      <c r="C7" s="76"/>
      <c r="D7" s="76">
        <v>-700000</v>
      </c>
      <c r="E7" s="76"/>
      <c r="F7" s="68">
        <v>-700000</v>
      </c>
      <c r="G7" s="68"/>
      <c r="I7" s="69"/>
      <c r="K7" s="58" t="s">
        <v>118</v>
      </c>
      <c r="L7" s="59">
        <v>700000</v>
      </c>
      <c r="M7" s="59">
        <v>1000000</v>
      </c>
      <c r="N7" s="59">
        <v>800000</v>
      </c>
      <c r="O7" s="59">
        <f>SUM(L7:N7)</f>
        <v>2500000</v>
      </c>
    </row>
    <row r="8" spans="2:15" ht="15.75" x14ac:dyDescent="0.25">
      <c r="B8" s="55"/>
      <c r="C8" s="76">
        <v>1000000</v>
      </c>
      <c r="D8" s="76"/>
      <c r="E8" s="76">
        <v>-840000</v>
      </c>
      <c r="F8" s="68"/>
      <c r="G8" s="68">
        <f>C8+E8</f>
        <v>160000</v>
      </c>
      <c r="I8" s="69"/>
    </row>
    <row r="9" spans="2:15" ht="16.5" thickBot="1" x14ac:dyDescent="0.3">
      <c r="B9" s="56">
        <v>1</v>
      </c>
      <c r="C9" s="50">
        <f>SUM(C5:C8)</f>
        <v>300000</v>
      </c>
      <c r="D9" s="50">
        <f t="shared" ref="D9:G9" si="0">SUM(D5:D8)</f>
        <v>0</v>
      </c>
      <c r="E9" s="50">
        <f t="shared" si="0"/>
        <v>0</v>
      </c>
      <c r="F9" s="50">
        <f t="shared" si="0"/>
        <v>140000.00000000012</v>
      </c>
      <c r="G9" s="50">
        <f t="shared" si="0"/>
        <v>160000</v>
      </c>
      <c r="I9" s="71"/>
      <c r="K9" s="58" t="s">
        <v>119</v>
      </c>
      <c r="L9" s="58">
        <v>3</v>
      </c>
    </row>
    <row r="10" spans="2:15" ht="16.5" thickTop="1" x14ac:dyDescent="0.25">
      <c r="B10" s="55"/>
      <c r="C10" s="51"/>
      <c r="D10" s="51"/>
      <c r="E10" s="51"/>
      <c r="F10" s="51"/>
      <c r="G10" s="51"/>
      <c r="H10" s="60"/>
      <c r="I10" s="71"/>
      <c r="K10" s="58"/>
      <c r="L10" s="59"/>
    </row>
    <row r="11" spans="2:15" ht="15.75" x14ac:dyDescent="0.25">
      <c r="B11" s="55" t="s">
        <v>120</v>
      </c>
      <c r="C11" s="76">
        <v>-1000000</v>
      </c>
      <c r="D11" s="76">
        <v>1000000</v>
      </c>
      <c r="E11" s="77"/>
      <c r="F11" s="68"/>
      <c r="G11" s="68"/>
      <c r="H11" s="60"/>
      <c r="I11" s="71"/>
      <c r="K11" s="61" t="s">
        <v>121</v>
      </c>
      <c r="L11" s="62">
        <f>O7</f>
        <v>2500000</v>
      </c>
    </row>
    <row r="12" spans="2:15" ht="15.75" x14ac:dyDescent="0.25">
      <c r="B12" s="55"/>
      <c r="C12" s="76"/>
      <c r="D12" s="76"/>
      <c r="E12" s="76">
        <f>O6*H12-G9</f>
        <v>1040000</v>
      </c>
      <c r="F12" s="73">
        <f>O6*H12</f>
        <v>1200000</v>
      </c>
      <c r="G12" s="68">
        <v>-160000</v>
      </c>
      <c r="H12" s="79">
        <f>M7/L11</f>
        <v>0.4</v>
      </c>
      <c r="I12" s="74">
        <f>I6+H12</f>
        <v>0.68</v>
      </c>
    </row>
    <row r="13" spans="2:15" ht="15.75" x14ac:dyDescent="0.25">
      <c r="B13" s="55"/>
      <c r="C13" s="76"/>
      <c r="D13" s="76">
        <v>-1000000</v>
      </c>
      <c r="E13" s="76"/>
      <c r="F13" s="68">
        <v>-1000000</v>
      </c>
      <c r="G13" s="68"/>
      <c r="I13" s="69"/>
    </row>
    <row r="14" spans="2:15" ht="15.75" x14ac:dyDescent="0.25">
      <c r="B14" s="55"/>
      <c r="C14" s="76">
        <v>1000000</v>
      </c>
      <c r="D14" s="76"/>
      <c r="E14" s="76">
        <v>-1000000</v>
      </c>
      <c r="F14" s="68"/>
      <c r="G14" s="68"/>
      <c r="I14" s="71"/>
    </row>
    <row r="15" spans="2:15" ht="16.5" thickBot="1" x14ac:dyDescent="0.3">
      <c r="B15" s="55"/>
      <c r="C15" s="50">
        <f t="shared" ref="C15" si="1">SUM(C11:C14)</f>
        <v>0</v>
      </c>
      <c r="D15" s="50">
        <f t="shared" ref="D15" si="2">SUM(D11:D14)</f>
        <v>0</v>
      </c>
      <c r="E15" s="50">
        <f t="shared" ref="E15" si="3">SUM(E11:E14)</f>
        <v>40000</v>
      </c>
      <c r="F15" s="50">
        <f t="shared" ref="F15" si="4">SUM(F11:F14)</f>
        <v>200000</v>
      </c>
      <c r="G15" s="50">
        <f t="shared" ref="G15" si="5">SUM(G11:G14)</f>
        <v>-160000</v>
      </c>
      <c r="H15" s="60"/>
      <c r="I15" s="71"/>
    </row>
    <row r="16" spans="2:15" ht="16.5" thickTop="1" x14ac:dyDescent="0.25">
      <c r="B16" s="55"/>
      <c r="C16" s="53"/>
      <c r="D16" s="53"/>
      <c r="E16" s="53"/>
      <c r="F16" s="51"/>
      <c r="G16" s="51"/>
      <c r="H16" s="60"/>
      <c r="I16" s="71"/>
    </row>
    <row r="17" spans="2:15" ht="16.5" thickBot="1" x14ac:dyDescent="0.3">
      <c r="B17" s="55" t="s">
        <v>122</v>
      </c>
      <c r="C17" s="54">
        <f>C9+C15</f>
        <v>300000</v>
      </c>
      <c r="D17" s="54">
        <f>D9+D15</f>
        <v>0</v>
      </c>
      <c r="E17" s="54">
        <f>E9+E15</f>
        <v>40000</v>
      </c>
      <c r="F17" s="50">
        <f>F9+F15</f>
        <v>340000.00000000012</v>
      </c>
      <c r="G17" s="50">
        <f>G9+G15</f>
        <v>0</v>
      </c>
      <c r="H17" s="60"/>
      <c r="I17" s="71"/>
    </row>
    <row r="18" spans="2:15" ht="16.5" thickTop="1" x14ac:dyDescent="0.25">
      <c r="B18" s="55"/>
      <c r="C18" s="49"/>
      <c r="D18" s="49"/>
      <c r="E18" s="49"/>
      <c r="F18" s="51"/>
      <c r="G18" s="51"/>
      <c r="H18" s="60"/>
      <c r="I18" s="71"/>
    </row>
    <row r="19" spans="2:15" ht="15.75" x14ac:dyDescent="0.25">
      <c r="B19" s="55" t="s">
        <v>123</v>
      </c>
      <c r="C19" s="76">
        <v>-800000</v>
      </c>
      <c r="D19" s="76">
        <v>800000</v>
      </c>
      <c r="E19" s="77"/>
      <c r="F19" s="68"/>
      <c r="G19" s="68"/>
      <c r="H19" s="60"/>
      <c r="I19" s="71"/>
    </row>
    <row r="20" spans="2:15" ht="15.75" x14ac:dyDescent="0.25">
      <c r="B20" s="55"/>
      <c r="C20" s="76"/>
      <c r="D20" s="76"/>
      <c r="E20" s="76">
        <f>O6*H20</f>
        <v>960000</v>
      </c>
      <c r="F20" s="73">
        <f>O6*H20</f>
        <v>960000</v>
      </c>
      <c r="G20" s="68"/>
      <c r="H20" s="79">
        <f>N7/L11</f>
        <v>0.32</v>
      </c>
      <c r="I20" s="74">
        <f>I12+H20</f>
        <v>1</v>
      </c>
    </row>
    <row r="21" spans="2:15" ht="15.75" x14ac:dyDescent="0.25">
      <c r="B21" s="55"/>
      <c r="C21" s="76"/>
      <c r="D21" s="76">
        <v>-800000</v>
      </c>
      <c r="E21" s="76"/>
      <c r="F21" s="68">
        <v>-800000</v>
      </c>
      <c r="G21" s="68"/>
      <c r="I21" s="69"/>
    </row>
    <row r="22" spans="2:15" ht="15.75" x14ac:dyDescent="0.25">
      <c r="B22" s="55"/>
      <c r="C22" s="76">
        <v>1000000</v>
      </c>
      <c r="D22" s="76"/>
      <c r="E22" s="76">
        <v>-1000000</v>
      </c>
      <c r="F22" s="68"/>
      <c r="G22" s="68"/>
      <c r="H22" s="60"/>
      <c r="I22" s="71"/>
    </row>
    <row r="23" spans="2:15" ht="15.75" x14ac:dyDescent="0.25">
      <c r="B23" s="55"/>
      <c r="C23" s="52">
        <f>SUM(C19:C22)</f>
        <v>200000</v>
      </c>
      <c r="D23" s="52">
        <f t="shared" ref="D23:G23" si="6">SUM(D19:D22)</f>
        <v>0</v>
      </c>
      <c r="E23" s="52">
        <f t="shared" si="6"/>
        <v>-40000</v>
      </c>
      <c r="F23" s="52">
        <f t="shared" si="6"/>
        <v>160000</v>
      </c>
      <c r="G23" s="52">
        <f t="shared" si="6"/>
        <v>0</v>
      </c>
      <c r="H23" s="60"/>
      <c r="I23" s="71"/>
    </row>
    <row r="24" spans="2:15" ht="15.75" x14ac:dyDescent="0.25">
      <c r="B24" s="55"/>
      <c r="C24" s="53"/>
      <c r="D24" s="53"/>
      <c r="E24" s="53"/>
      <c r="F24" s="51"/>
      <c r="G24" s="51"/>
      <c r="H24" s="60"/>
      <c r="I24" s="71"/>
    </row>
    <row r="25" spans="2:15" ht="16.5" thickBot="1" x14ac:dyDescent="0.3">
      <c r="B25" s="55" t="s">
        <v>124</v>
      </c>
      <c r="C25" s="54">
        <f>C23+C17</f>
        <v>500000</v>
      </c>
      <c r="D25" s="54">
        <f t="shared" ref="D25:G25" si="7">D23+D17</f>
        <v>0</v>
      </c>
      <c r="E25" s="54">
        <f t="shared" si="7"/>
        <v>0</v>
      </c>
      <c r="F25" s="54">
        <f t="shared" si="7"/>
        <v>500000.00000000012</v>
      </c>
      <c r="G25" s="54">
        <f t="shared" si="7"/>
        <v>0</v>
      </c>
      <c r="H25" s="60"/>
      <c r="I25" s="71"/>
    </row>
    <row r="26" spans="2:15" ht="16.5" thickTop="1" x14ac:dyDescent="0.25">
      <c r="B26" s="55"/>
      <c r="C26" s="49"/>
      <c r="D26" s="49"/>
      <c r="E26" s="49"/>
      <c r="F26" s="49"/>
      <c r="G26" s="49"/>
      <c r="I26" s="75"/>
    </row>
    <row r="30" spans="2:15" ht="15.75" x14ac:dyDescent="0.25">
      <c r="E30" s="63" t="s">
        <v>108</v>
      </c>
      <c r="J30" s="47"/>
      <c r="K30" s="46"/>
      <c r="L30" s="46"/>
    </row>
    <row r="31" spans="2:15" ht="16.5" thickBot="1" x14ac:dyDescent="0.3">
      <c r="C31" s="145" t="s">
        <v>109</v>
      </c>
      <c r="D31" s="145"/>
      <c r="E31" s="145"/>
      <c r="F31" s="67" t="s">
        <v>110</v>
      </c>
      <c r="G31" s="67"/>
      <c r="J31" s="47"/>
      <c r="K31" s="46"/>
      <c r="L31" s="46"/>
    </row>
    <row r="32" spans="2:15" ht="63.75" thickBot="1" x14ac:dyDescent="0.3">
      <c r="B32" s="64" t="s">
        <v>111</v>
      </c>
      <c r="C32" s="65" t="s">
        <v>47</v>
      </c>
      <c r="D32" s="64" t="s">
        <v>112</v>
      </c>
      <c r="E32" s="66" t="s">
        <v>113</v>
      </c>
      <c r="F32" s="72" t="s">
        <v>15</v>
      </c>
      <c r="G32" s="78" t="s">
        <v>126</v>
      </c>
      <c r="H32" s="64" t="s">
        <v>114</v>
      </c>
      <c r="I32" s="70" t="s">
        <v>115</v>
      </c>
      <c r="J32" s="48"/>
      <c r="K32" s="48"/>
      <c r="L32" s="48"/>
      <c r="M32" s="48"/>
      <c r="N32" s="48"/>
      <c r="O32" s="48"/>
    </row>
    <row r="33" spans="2:15" ht="15.75" x14ac:dyDescent="0.25">
      <c r="B33" s="55" t="s">
        <v>116</v>
      </c>
      <c r="C33" s="76">
        <v>-700000</v>
      </c>
      <c r="D33" s="76">
        <v>700000</v>
      </c>
      <c r="E33" s="77"/>
      <c r="F33" s="68"/>
      <c r="G33" s="68"/>
      <c r="I33" s="69"/>
      <c r="K33" s="57" t="s">
        <v>111</v>
      </c>
      <c r="L33" s="57">
        <v>1</v>
      </c>
      <c r="M33" s="57">
        <v>2</v>
      </c>
      <c r="N33" s="57">
        <v>3</v>
      </c>
      <c r="O33" s="57" t="s">
        <v>125</v>
      </c>
    </row>
    <row r="34" spans="2:15" ht="15.75" x14ac:dyDescent="0.25">
      <c r="B34" s="55"/>
      <c r="C34" s="76"/>
      <c r="D34" s="76"/>
      <c r="E34" s="76"/>
      <c r="F34" s="73"/>
      <c r="G34" s="68"/>
      <c r="H34" s="79"/>
      <c r="I34" s="74"/>
      <c r="K34" s="58" t="s">
        <v>117</v>
      </c>
      <c r="L34" s="59">
        <v>1000000</v>
      </c>
      <c r="M34" s="59">
        <v>1000000</v>
      </c>
      <c r="N34" s="59">
        <v>1000000</v>
      </c>
      <c r="O34" s="59">
        <f>SUM(L34:N34)</f>
        <v>3000000</v>
      </c>
    </row>
    <row r="35" spans="2:15" ht="15.75" x14ac:dyDescent="0.25">
      <c r="B35" s="55"/>
      <c r="C35" s="76"/>
      <c r="D35" s="76"/>
      <c r="E35" s="76"/>
      <c r="F35" s="68"/>
      <c r="G35" s="68"/>
      <c r="I35" s="69"/>
      <c r="K35" s="58" t="s">
        <v>118</v>
      </c>
      <c r="L35" s="59">
        <v>700000</v>
      </c>
      <c r="M35" s="59">
        <v>1000000</v>
      </c>
      <c r="N35" s="59">
        <v>800000</v>
      </c>
      <c r="O35" s="59">
        <f>SUM(L35:N35)</f>
        <v>2500000</v>
      </c>
    </row>
    <row r="36" spans="2:15" ht="15.75" x14ac:dyDescent="0.25">
      <c r="B36" s="55"/>
      <c r="C36" s="76">
        <v>1000000</v>
      </c>
      <c r="D36" s="76"/>
      <c r="E36" s="76"/>
      <c r="F36" s="68"/>
      <c r="G36" s="68">
        <v>1000000</v>
      </c>
      <c r="I36" s="69"/>
    </row>
    <row r="37" spans="2:15" ht="16.5" thickBot="1" x14ac:dyDescent="0.3">
      <c r="B37" s="56">
        <v>1</v>
      </c>
      <c r="C37" s="50">
        <f>SUM(C33:C36)</f>
        <v>300000</v>
      </c>
      <c r="D37" s="50">
        <f t="shared" ref="D37" si="8">SUM(D33:D36)</f>
        <v>700000</v>
      </c>
      <c r="E37" s="50">
        <f t="shared" ref="E37" si="9">SUM(E33:E36)</f>
        <v>0</v>
      </c>
      <c r="F37" s="50">
        <f t="shared" ref="F37" si="10">SUM(F33:F36)</f>
        <v>0</v>
      </c>
      <c r="G37" s="50">
        <f t="shared" ref="G37" si="11">SUM(G33:G36)</f>
        <v>1000000</v>
      </c>
      <c r="I37" s="71"/>
      <c r="K37" s="58" t="s">
        <v>119</v>
      </c>
      <c r="L37" s="58">
        <v>3</v>
      </c>
    </row>
    <row r="38" spans="2:15" ht="16.5" thickTop="1" x14ac:dyDescent="0.25">
      <c r="B38" s="55"/>
      <c r="C38" s="51"/>
      <c r="D38" s="51"/>
      <c r="E38" s="51"/>
      <c r="F38" s="51"/>
      <c r="G38" s="51"/>
      <c r="H38" s="60"/>
      <c r="I38" s="71"/>
      <c r="K38" s="58"/>
      <c r="L38" s="59"/>
    </row>
    <row r="39" spans="2:15" ht="15.75" x14ac:dyDescent="0.25">
      <c r="B39" s="55" t="s">
        <v>120</v>
      </c>
      <c r="C39" s="76">
        <v>-1000000</v>
      </c>
      <c r="D39" s="76">
        <v>1000000</v>
      </c>
      <c r="E39" s="77"/>
      <c r="F39" s="68"/>
      <c r="G39" s="68"/>
      <c r="H39" s="60"/>
      <c r="I39" s="71"/>
      <c r="K39" s="61" t="s">
        <v>121</v>
      </c>
      <c r="L39" s="62">
        <f>O35</f>
        <v>2500000</v>
      </c>
    </row>
    <row r="40" spans="2:15" ht="15.75" x14ac:dyDescent="0.25">
      <c r="B40" s="55"/>
      <c r="C40" s="76"/>
      <c r="D40" s="76"/>
      <c r="E40" s="76"/>
      <c r="F40" s="73"/>
      <c r="G40" s="68"/>
      <c r="H40" s="79"/>
      <c r="I40" s="74"/>
    </row>
    <row r="41" spans="2:15" ht="15.75" x14ac:dyDescent="0.25">
      <c r="B41" s="55"/>
      <c r="C41" s="76"/>
      <c r="D41" s="76"/>
      <c r="E41" s="76"/>
      <c r="F41" s="68"/>
      <c r="G41" s="68"/>
      <c r="I41" s="69"/>
    </row>
    <row r="42" spans="2:15" ht="15.75" x14ac:dyDescent="0.25">
      <c r="B42" s="55"/>
      <c r="C42" s="76">
        <v>1000000</v>
      </c>
      <c r="D42" s="76"/>
      <c r="E42" s="76"/>
      <c r="F42" s="68"/>
      <c r="G42" s="68">
        <v>1000000</v>
      </c>
      <c r="I42" s="71"/>
    </row>
    <row r="43" spans="2:15" ht="16.5" thickBot="1" x14ac:dyDescent="0.3">
      <c r="B43" s="55"/>
      <c r="C43" s="50">
        <f t="shared" ref="C43" si="12">SUM(C39:C42)</f>
        <v>0</v>
      </c>
      <c r="D43" s="50">
        <f t="shared" ref="D43" si="13">SUM(D39:D42)</f>
        <v>1000000</v>
      </c>
      <c r="E43" s="50">
        <f t="shared" ref="E43" si="14">SUM(E39:E42)</f>
        <v>0</v>
      </c>
      <c r="F43" s="50">
        <f t="shared" ref="F43" si="15">SUM(F39:F42)</f>
        <v>0</v>
      </c>
      <c r="G43" s="50">
        <f t="shared" ref="G43" si="16">SUM(G39:G42)</f>
        <v>1000000</v>
      </c>
      <c r="H43" s="60"/>
      <c r="I43" s="71"/>
    </row>
    <row r="44" spans="2:15" ht="16.5" thickTop="1" x14ac:dyDescent="0.25">
      <c r="B44" s="55"/>
      <c r="C44" s="53"/>
      <c r="D44" s="53"/>
      <c r="E44" s="53"/>
      <c r="F44" s="51"/>
      <c r="G44" s="51"/>
      <c r="H44" s="60"/>
      <c r="I44" s="71"/>
    </row>
    <row r="45" spans="2:15" ht="16.5" thickBot="1" x14ac:dyDescent="0.3">
      <c r="B45" s="55" t="s">
        <v>122</v>
      </c>
      <c r="C45" s="54">
        <f>C37+C43</f>
        <v>300000</v>
      </c>
      <c r="D45" s="54">
        <f>D37+D43</f>
        <v>1700000</v>
      </c>
      <c r="E45" s="54">
        <f>E37+E43</f>
        <v>0</v>
      </c>
      <c r="F45" s="50">
        <f>F37+F43</f>
        <v>0</v>
      </c>
      <c r="G45" s="50">
        <f>G37+G43</f>
        <v>2000000</v>
      </c>
      <c r="H45" s="60"/>
      <c r="I45" s="71"/>
    </row>
    <row r="46" spans="2:15" ht="16.5" thickTop="1" x14ac:dyDescent="0.25">
      <c r="B46" s="55"/>
      <c r="C46" s="49"/>
      <c r="D46" s="49"/>
      <c r="E46" s="49"/>
      <c r="F46" s="51"/>
      <c r="G46" s="51"/>
      <c r="H46" s="60"/>
      <c r="I46" s="71"/>
    </row>
    <row r="47" spans="2:15" ht="15.75" x14ac:dyDescent="0.25">
      <c r="B47" s="55" t="s">
        <v>123</v>
      </c>
      <c r="C47" s="76">
        <v>-800000</v>
      </c>
      <c r="D47" s="76">
        <v>800000</v>
      </c>
      <c r="E47" s="77"/>
      <c r="F47" s="68"/>
      <c r="G47" s="68"/>
      <c r="H47" s="60"/>
      <c r="I47" s="71"/>
    </row>
    <row r="48" spans="2:15" ht="15.75" x14ac:dyDescent="0.25">
      <c r="B48" s="55"/>
      <c r="C48" s="76"/>
      <c r="D48" s="76"/>
      <c r="E48" s="76">
        <v>1000000</v>
      </c>
      <c r="F48" s="73">
        <v>3000000</v>
      </c>
      <c r="G48" s="68">
        <v>-2000000</v>
      </c>
      <c r="H48" s="79"/>
      <c r="I48" s="74"/>
    </row>
    <row r="49" spans="2:9" ht="15.75" x14ac:dyDescent="0.25">
      <c r="B49" s="55"/>
      <c r="C49" s="76"/>
      <c r="D49" s="76">
        <v>-2500000</v>
      </c>
      <c r="E49" s="76"/>
      <c r="F49" s="68">
        <v>-2500000</v>
      </c>
      <c r="G49" s="68"/>
      <c r="I49" s="69"/>
    </row>
    <row r="50" spans="2:9" ht="15.75" x14ac:dyDescent="0.25">
      <c r="B50" s="55"/>
      <c r="C50" s="76">
        <v>1000000</v>
      </c>
      <c r="D50" s="76"/>
      <c r="E50" s="76">
        <v>-1000000</v>
      </c>
      <c r="F50" s="68"/>
      <c r="G50" s="68"/>
      <c r="H50" s="60"/>
      <c r="I50" s="71"/>
    </row>
    <row r="51" spans="2:9" ht="15.75" x14ac:dyDescent="0.25">
      <c r="B51" s="55"/>
      <c r="C51" s="52">
        <f>SUM(C47:C50)</f>
        <v>200000</v>
      </c>
      <c r="D51" s="52">
        <f t="shared" ref="D51" si="17">SUM(D47:D50)</f>
        <v>-1700000</v>
      </c>
      <c r="E51" s="52">
        <f t="shared" ref="E51" si="18">SUM(E47:E50)</f>
        <v>0</v>
      </c>
      <c r="F51" s="52">
        <f t="shared" ref="F51" si="19">SUM(F47:F50)</f>
        <v>500000</v>
      </c>
      <c r="G51" s="52">
        <f t="shared" ref="G51" si="20">SUM(G47:G50)</f>
        <v>-2000000</v>
      </c>
      <c r="H51" s="60"/>
      <c r="I51" s="71"/>
    </row>
    <row r="52" spans="2:9" ht="15.75" x14ac:dyDescent="0.25">
      <c r="B52" s="55"/>
      <c r="C52" s="53"/>
      <c r="D52" s="53"/>
      <c r="E52" s="53"/>
      <c r="F52" s="51"/>
      <c r="G52" s="51"/>
      <c r="H52" s="60"/>
      <c r="I52" s="71"/>
    </row>
    <row r="53" spans="2:9" ht="16.5" thickBot="1" x14ac:dyDescent="0.3">
      <c r="B53" s="55" t="s">
        <v>124</v>
      </c>
      <c r="C53" s="54">
        <f>C51+C45</f>
        <v>500000</v>
      </c>
      <c r="D53" s="54">
        <f t="shared" ref="D53:G53" si="21">D51+D45</f>
        <v>0</v>
      </c>
      <c r="E53" s="54">
        <f t="shared" si="21"/>
        <v>0</v>
      </c>
      <c r="F53" s="54">
        <f t="shared" si="21"/>
        <v>500000</v>
      </c>
      <c r="G53" s="54">
        <f t="shared" si="21"/>
        <v>0</v>
      </c>
      <c r="H53" s="60"/>
      <c r="I53" s="71"/>
    </row>
    <row r="54" spans="2:9" ht="16.5" thickTop="1" x14ac:dyDescent="0.25">
      <c r="B54" s="55"/>
      <c r="C54" s="49"/>
      <c r="D54" s="49"/>
      <c r="E54" s="49"/>
      <c r="F54" s="49"/>
      <c r="G54" s="49"/>
      <c r="I54" s="75"/>
    </row>
  </sheetData>
  <mergeCells count="2">
    <mergeCell ref="C3:E3"/>
    <mergeCell ref="C31:E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12EF-4CBE-424F-A66C-5F70873E471C}">
  <dimension ref="B2:I23"/>
  <sheetViews>
    <sheetView workbookViewId="0">
      <selection activeCell="E23" sqref="E23"/>
    </sheetView>
  </sheetViews>
  <sheetFormatPr defaultColWidth="8.85546875" defaultRowHeight="15" x14ac:dyDescent="0.25"/>
  <cols>
    <col min="2" max="2" width="23.28515625" customWidth="1"/>
    <col min="3" max="3" width="12.42578125" bestFit="1" customWidth="1"/>
    <col min="5" max="5" width="11.42578125" bestFit="1" customWidth="1"/>
  </cols>
  <sheetData>
    <row r="2" spans="2:9" x14ac:dyDescent="0.25">
      <c r="B2" s="80" t="s">
        <v>127</v>
      </c>
      <c r="C2" s="81"/>
      <c r="D2" s="81"/>
      <c r="E2" s="81"/>
      <c r="F2" s="81"/>
      <c r="G2" s="81"/>
      <c r="H2" s="81"/>
      <c r="I2" s="81"/>
    </row>
    <row r="3" spans="2:9" x14ac:dyDescent="0.25">
      <c r="B3" s="81" t="s">
        <v>128</v>
      </c>
      <c r="C3" s="84">
        <v>2000</v>
      </c>
      <c r="D3" s="81"/>
      <c r="E3" s="81"/>
      <c r="F3" s="81"/>
      <c r="G3" s="81"/>
      <c r="H3" s="80" t="s">
        <v>129</v>
      </c>
      <c r="I3" s="80" t="s">
        <v>130</v>
      </c>
    </row>
    <row r="4" spans="2:9" x14ac:dyDescent="0.25">
      <c r="B4" s="81" t="s">
        <v>131</v>
      </c>
      <c r="C4" s="84">
        <v>1600</v>
      </c>
      <c r="D4" s="81"/>
      <c r="E4" s="81"/>
      <c r="F4" s="81"/>
      <c r="G4" s="81" t="s">
        <v>132</v>
      </c>
      <c r="H4" s="82">
        <v>0.5</v>
      </c>
      <c r="I4" s="82">
        <v>0</v>
      </c>
    </row>
    <row r="5" spans="2:9" x14ac:dyDescent="0.25">
      <c r="B5" s="81"/>
      <c r="C5" s="85"/>
      <c r="D5" s="81"/>
      <c r="E5" s="81"/>
      <c r="F5" s="81"/>
      <c r="G5" s="81" t="s">
        <v>133</v>
      </c>
      <c r="H5" s="82">
        <v>0.3</v>
      </c>
      <c r="I5" s="82">
        <v>0.1</v>
      </c>
    </row>
    <row r="6" spans="2:9" x14ac:dyDescent="0.25">
      <c r="B6" s="80" t="s">
        <v>29</v>
      </c>
      <c r="C6" s="86"/>
      <c r="D6" s="81"/>
      <c r="E6" s="81"/>
      <c r="F6" s="81"/>
      <c r="G6" s="81" t="s">
        <v>134</v>
      </c>
      <c r="H6" s="82">
        <v>0.15</v>
      </c>
      <c r="I6" s="82">
        <v>0.2</v>
      </c>
    </row>
    <row r="7" spans="2:9" x14ac:dyDescent="0.25">
      <c r="B7" s="81" t="s">
        <v>135</v>
      </c>
      <c r="C7" s="84">
        <v>500</v>
      </c>
      <c r="D7" s="81"/>
      <c r="E7" s="81"/>
      <c r="F7" s="81"/>
      <c r="G7" s="81" t="s">
        <v>136</v>
      </c>
      <c r="H7" s="82">
        <v>0.05</v>
      </c>
      <c r="I7" s="82">
        <v>0.4</v>
      </c>
    </row>
    <row r="8" spans="2:9" x14ac:dyDescent="0.25">
      <c r="B8" s="81" t="s">
        <v>137</v>
      </c>
      <c r="C8" s="84">
        <v>40</v>
      </c>
      <c r="D8" s="81"/>
      <c r="E8" s="81"/>
      <c r="F8" s="81"/>
      <c r="G8" s="81"/>
      <c r="H8" s="81"/>
      <c r="I8" s="81"/>
    </row>
    <row r="9" spans="2:9" x14ac:dyDescent="0.25">
      <c r="B9" s="81"/>
      <c r="C9" s="85"/>
      <c r="D9" s="81"/>
      <c r="E9" s="81"/>
      <c r="F9" s="81"/>
      <c r="G9" s="81"/>
      <c r="H9" s="81"/>
      <c r="I9" s="81"/>
    </row>
    <row r="10" spans="2:9" x14ac:dyDescent="0.25">
      <c r="B10" s="80" t="s">
        <v>138</v>
      </c>
      <c r="C10" s="85"/>
      <c r="D10" s="81"/>
      <c r="E10" s="81"/>
      <c r="F10" s="81"/>
      <c r="G10" s="81"/>
      <c r="H10" s="81"/>
      <c r="I10" s="81"/>
    </row>
    <row r="11" spans="2:9" x14ac:dyDescent="0.25">
      <c r="B11" s="81" t="s">
        <v>139</v>
      </c>
      <c r="C11" s="84">
        <v>100</v>
      </c>
      <c r="D11" s="81"/>
      <c r="E11" s="81"/>
      <c r="F11" s="81"/>
      <c r="G11" s="81"/>
      <c r="H11" s="81"/>
      <c r="I11" s="81"/>
    </row>
    <row r="12" spans="2:9" x14ac:dyDescent="0.25">
      <c r="B12" s="81"/>
      <c r="C12" s="86"/>
      <c r="D12" s="81"/>
      <c r="E12" s="81"/>
      <c r="F12" s="81"/>
      <c r="G12" s="81"/>
      <c r="H12" s="81"/>
      <c r="I12" s="81"/>
    </row>
    <row r="13" spans="2:9" x14ac:dyDescent="0.25">
      <c r="B13" s="81"/>
      <c r="C13" s="86"/>
      <c r="D13" s="81"/>
      <c r="E13" s="81"/>
      <c r="F13" s="81"/>
      <c r="G13" s="81"/>
      <c r="H13" s="81"/>
      <c r="I13" s="81"/>
    </row>
    <row r="14" spans="2:9" x14ac:dyDescent="0.25">
      <c r="B14" s="80" t="s">
        <v>140</v>
      </c>
      <c r="C14" s="87">
        <f>C7-C11+C3-C4</f>
        <v>800</v>
      </c>
      <c r="D14" s="81" t="s">
        <v>144</v>
      </c>
      <c r="E14" s="81"/>
      <c r="F14" s="81"/>
      <c r="G14" s="81"/>
      <c r="H14" s="81"/>
      <c r="I14" s="81"/>
    </row>
    <row r="15" spans="2:9" x14ac:dyDescent="0.25">
      <c r="B15" s="80"/>
      <c r="C15" s="86"/>
      <c r="D15" s="81"/>
      <c r="E15" s="81"/>
      <c r="F15" s="81"/>
      <c r="G15" s="81"/>
      <c r="H15" s="81"/>
      <c r="I15" s="81"/>
    </row>
    <row r="16" spans="2:9" x14ac:dyDescent="0.25">
      <c r="B16" s="80" t="s">
        <v>141</v>
      </c>
      <c r="C16" s="86"/>
      <c r="D16" s="81"/>
      <c r="E16" s="81"/>
      <c r="F16" s="81"/>
      <c r="G16" s="81"/>
      <c r="H16" s="81"/>
      <c r="I16" s="81"/>
    </row>
    <row r="17" spans="2:9" x14ac:dyDescent="0.25">
      <c r="B17" s="81" t="s">
        <v>132</v>
      </c>
      <c r="C17" s="87">
        <f>C14*H4*I4</f>
        <v>0</v>
      </c>
      <c r="D17" s="81"/>
      <c r="E17" s="81"/>
      <c r="F17" s="81"/>
      <c r="G17" s="81"/>
      <c r="H17" s="81"/>
      <c r="I17" s="81"/>
    </row>
    <row r="18" spans="2:9" x14ac:dyDescent="0.25">
      <c r="B18" s="81" t="s">
        <v>133</v>
      </c>
      <c r="C18" s="87">
        <f>C14*H5*I5</f>
        <v>24</v>
      </c>
      <c r="D18" s="81"/>
      <c r="E18" s="81"/>
      <c r="F18" s="81"/>
      <c r="G18" s="81"/>
      <c r="H18" s="81"/>
      <c r="I18" s="81"/>
    </row>
    <row r="19" spans="2:9" x14ac:dyDescent="0.25">
      <c r="B19" s="81" t="s">
        <v>134</v>
      </c>
      <c r="C19" s="87">
        <f>C14*H6*I6</f>
        <v>24</v>
      </c>
      <c r="D19" s="81"/>
      <c r="E19" s="81"/>
      <c r="F19" s="81"/>
      <c r="G19" s="81"/>
      <c r="H19" s="81"/>
      <c r="I19" s="81"/>
    </row>
    <row r="20" spans="2:9" ht="15.75" thickBot="1" x14ac:dyDescent="0.3">
      <c r="B20" s="81" t="s">
        <v>136</v>
      </c>
      <c r="C20" s="88">
        <f>C14*H7*I7</f>
        <v>16</v>
      </c>
      <c r="D20" s="81"/>
      <c r="E20" s="81"/>
      <c r="F20" s="81"/>
      <c r="G20" s="81"/>
      <c r="H20" s="81"/>
      <c r="I20" s="81"/>
    </row>
    <row r="21" spans="2:9" ht="15.75" thickBot="1" x14ac:dyDescent="0.3">
      <c r="B21" s="80" t="s">
        <v>142</v>
      </c>
      <c r="C21" s="89">
        <f>SUM(C17:C20)</f>
        <v>64</v>
      </c>
      <c r="D21" s="81" t="s">
        <v>145</v>
      </c>
      <c r="E21" s="81"/>
      <c r="F21" s="81"/>
      <c r="G21" s="81"/>
      <c r="H21" s="81"/>
      <c r="I21" s="81"/>
    </row>
    <row r="22" spans="2:9" x14ac:dyDescent="0.25">
      <c r="B22" s="81"/>
      <c r="C22" s="86"/>
      <c r="D22" s="81"/>
      <c r="E22" s="83">
        <f>C8-C11-C21</f>
        <v>-124</v>
      </c>
      <c r="F22" s="81" t="s">
        <v>147</v>
      </c>
      <c r="G22" s="81"/>
      <c r="H22" s="81"/>
      <c r="I22" s="81"/>
    </row>
    <row r="23" spans="2:9" x14ac:dyDescent="0.25">
      <c r="B23" s="80" t="s">
        <v>143</v>
      </c>
      <c r="C23" s="84">
        <f>C14-C21</f>
        <v>736</v>
      </c>
      <c r="D23" s="81" t="s">
        <v>146</v>
      </c>
      <c r="E23" s="81"/>
      <c r="F23" s="81"/>
      <c r="G23" s="81"/>
      <c r="H23" s="81"/>
      <c r="I23" s="8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482E-48E3-4E1D-8F78-FD75A7C22FE8}">
  <dimension ref="B1:S34"/>
  <sheetViews>
    <sheetView topLeftCell="A8" workbookViewId="0">
      <selection activeCell="E21" sqref="E21"/>
    </sheetView>
  </sheetViews>
  <sheetFormatPr defaultColWidth="8.85546875" defaultRowHeight="15" x14ac:dyDescent="0.25"/>
  <cols>
    <col min="2" max="2" width="11.7109375" customWidth="1"/>
    <col min="5" max="5" width="16.140625" customWidth="1"/>
    <col min="6" max="6" width="9.42578125" customWidth="1"/>
  </cols>
  <sheetData>
    <row r="1" spans="2:19" x14ac:dyDescent="0.25">
      <c r="F1" t="s">
        <v>177</v>
      </c>
      <c r="G1" t="s">
        <v>175</v>
      </c>
      <c r="H1" t="s">
        <v>178</v>
      </c>
    </row>
    <row r="2" spans="2:19" ht="15.75" thickBot="1" x14ac:dyDescent="0.3">
      <c r="B2" s="112" t="s">
        <v>170</v>
      </c>
      <c r="C2" s="112"/>
      <c r="D2" s="112" t="s">
        <v>171</v>
      </c>
      <c r="E2" s="112" t="s">
        <v>152</v>
      </c>
      <c r="F2" s="146" t="s">
        <v>172</v>
      </c>
      <c r="G2" s="146"/>
      <c r="H2" s="146"/>
      <c r="Q2" t="s">
        <v>316</v>
      </c>
      <c r="S2" t="s">
        <v>317</v>
      </c>
    </row>
    <row r="3" spans="2:19" ht="15.75" thickTop="1" x14ac:dyDescent="0.25">
      <c r="B3" t="s">
        <v>97</v>
      </c>
      <c r="D3">
        <v>0</v>
      </c>
      <c r="E3">
        <v>0</v>
      </c>
    </row>
    <row r="4" spans="2:19" x14ac:dyDescent="0.25">
      <c r="B4" t="s">
        <v>318</v>
      </c>
      <c r="C4" t="s">
        <v>173</v>
      </c>
      <c r="D4">
        <v>7</v>
      </c>
      <c r="E4">
        <v>15</v>
      </c>
      <c r="F4" s="13">
        <f>E4*D4</f>
        <v>105</v>
      </c>
      <c r="G4">
        <f>E4*D4</f>
        <v>105</v>
      </c>
      <c r="H4">
        <f>E4*D4</f>
        <v>105</v>
      </c>
    </row>
    <row r="5" spans="2:19" x14ac:dyDescent="0.25">
      <c r="B5" t="s">
        <v>319</v>
      </c>
      <c r="C5" t="s">
        <v>173</v>
      </c>
      <c r="D5">
        <v>3</v>
      </c>
      <c r="E5">
        <v>5</v>
      </c>
      <c r="F5" s="110">
        <f>D5*E5</f>
        <v>15</v>
      </c>
      <c r="G5">
        <f>D5*E5</f>
        <v>15</v>
      </c>
      <c r="H5">
        <f>D5*E5</f>
        <v>15</v>
      </c>
    </row>
    <row r="6" spans="2:19" x14ac:dyDescent="0.25">
      <c r="B6" s="111" t="s">
        <v>320</v>
      </c>
      <c r="C6" s="111" t="s">
        <v>174</v>
      </c>
      <c r="D6" s="111">
        <v>5</v>
      </c>
      <c r="E6" s="111">
        <v>30</v>
      </c>
      <c r="F6" s="111">
        <f>D6*E4</f>
        <v>75</v>
      </c>
      <c r="G6" s="111">
        <f>D6*E5</f>
        <v>25</v>
      </c>
      <c r="H6" s="111">
        <f>D6*K6</f>
        <v>60</v>
      </c>
      <c r="J6" t="s">
        <v>176</v>
      </c>
      <c r="K6">
        <f>(D4*E4+D5*E5)/(D4+D5)</f>
        <v>12</v>
      </c>
    </row>
    <row r="8" spans="2:19" x14ac:dyDescent="0.25">
      <c r="B8" s="111"/>
      <c r="C8" s="111"/>
      <c r="D8" s="111"/>
      <c r="E8" s="111"/>
      <c r="F8" s="111"/>
      <c r="G8" s="111"/>
      <c r="H8" s="111"/>
      <c r="J8" t="s">
        <v>176</v>
      </c>
      <c r="K8">
        <f>(120*K6+D7*E7)/(200+120)</f>
        <v>4.5</v>
      </c>
    </row>
    <row r="9" spans="2:19" ht="15.75" thickBot="1" x14ac:dyDescent="0.3">
      <c r="B9" s="112" t="s">
        <v>321</v>
      </c>
      <c r="C9" s="112"/>
      <c r="D9" s="112"/>
      <c r="E9" s="112"/>
      <c r="F9" s="113">
        <f>F4+F5-F6+F7-F8</f>
        <v>45</v>
      </c>
      <c r="G9" s="112">
        <f>G4+G5-G6+G7-G8</f>
        <v>95</v>
      </c>
      <c r="H9" s="112">
        <f>H4+H5-H6+H7-H8</f>
        <v>60</v>
      </c>
    </row>
    <row r="10" spans="2:19" ht="15.75" thickTop="1" x14ac:dyDescent="0.25">
      <c r="E10" t="s">
        <v>174</v>
      </c>
      <c r="F10">
        <f>D6*E6+D8*E8</f>
        <v>150</v>
      </c>
      <c r="G10">
        <f>D6*E6+D8*E8</f>
        <v>150</v>
      </c>
      <c r="H10">
        <f>D6*E6+D8*E8</f>
        <v>150</v>
      </c>
    </row>
    <row r="11" spans="2:19" x14ac:dyDescent="0.25">
      <c r="E11" t="s">
        <v>173</v>
      </c>
      <c r="F11" s="13">
        <f>F4+F5+F7</f>
        <v>120</v>
      </c>
      <c r="G11">
        <f>G4+G5+G7</f>
        <v>120</v>
      </c>
      <c r="H11">
        <f>H4+H5+H7</f>
        <v>120</v>
      </c>
    </row>
    <row r="12" spans="2:19" x14ac:dyDescent="0.25">
      <c r="E12" t="s">
        <v>179</v>
      </c>
      <c r="F12" s="13">
        <f>F4+F5+F7-F6-F8</f>
        <v>45</v>
      </c>
      <c r="G12">
        <f>G4+G5+G7-G6-G8</f>
        <v>95</v>
      </c>
      <c r="H12">
        <f>H5+H4+H7-H6-H8</f>
        <v>60</v>
      </c>
    </row>
    <row r="13" spans="2:19" x14ac:dyDescent="0.25">
      <c r="E13" t="s">
        <v>104</v>
      </c>
      <c r="F13">
        <f>F6+F8</f>
        <v>75</v>
      </c>
      <c r="G13">
        <f>G6+G8</f>
        <v>25</v>
      </c>
      <c r="H13">
        <f>H8+H6</f>
        <v>60</v>
      </c>
    </row>
    <row r="15" spans="2:19" x14ac:dyDescent="0.25">
      <c r="E15" t="s">
        <v>180</v>
      </c>
      <c r="F15">
        <f>F10-F13</f>
        <v>75</v>
      </c>
      <c r="G15">
        <f>G10-G13</f>
        <v>125</v>
      </c>
      <c r="H15">
        <f>H10-H13</f>
        <v>90</v>
      </c>
    </row>
    <row r="18" spans="5:9" x14ac:dyDescent="0.25">
      <c r="E18" t="s">
        <v>323</v>
      </c>
      <c r="F18" t="s">
        <v>330</v>
      </c>
    </row>
    <row r="19" spans="5:9" x14ac:dyDescent="0.25">
      <c r="E19" s="114" t="s">
        <v>322</v>
      </c>
      <c r="F19" s="150"/>
      <c r="H19" s="114" t="s">
        <v>326</v>
      </c>
      <c r="I19" s="114"/>
    </row>
    <row r="20" spans="5:9" x14ac:dyDescent="0.25">
      <c r="E20" s="151">
        <v>45</v>
      </c>
      <c r="F20" s="13"/>
      <c r="H20" s="152"/>
      <c r="I20">
        <v>15</v>
      </c>
    </row>
    <row r="21" spans="5:9" x14ac:dyDescent="0.25">
      <c r="E21" s="152"/>
      <c r="H21" s="152"/>
    </row>
    <row r="22" spans="5:9" x14ac:dyDescent="0.25">
      <c r="E22" s="152"/>
      <c r="H22" s="152"/>
    </row>
    <row r="24" spans="5:9" x14ac:dyDescent="0.25">
      <c r="E24" t="s">
        <v>324</v>
      </c>
      <c r="F24" t="s">
        <v>327</v>
      </c>
    </row>
    <row r="25" spans="5:9" x14ac:dyDescent="0.25">
      <c r="E25" s="114"/>
      <c r="F25" s="114"/>
      <c r="H25" s="114" t="s">
        <v>328</v>
      </c>
      <c r="I25" s="114"/>
    </row>
    <row r="26" spans="5:9" x14ac:dyDescent="0.25">
      <c r="E26" s="151">
        <v>95</v>
      </c>
      <c r="H26" s="151"/>
    </row>
    <row r="27" spans="5:9" x14ac:dyDescent="0.25">
      <c r="E27" s="152"/>
      <c r="F27">
        <v>35</v>
      </c>
      <c r="H27" s="152">
        <v>35</v>
      </c>
    </row>
    <row r="28" spans="5:9" x14ac:dyDescent="0.25">
      <c r="E28" s="152"/>
      <c r="H28" s="152"/>
    </row>
    <row r="29" spans="5:9" x14ac:dyDescent="0.25">
      <c r="E29" t="s">
        <v>325</v>
      </c>
    </row>
    <row r="30" spans="5:9" x14ac:dyDescent="0.25">
      <c r="E30" t="s">
        <v>329</v>
      </c>
    </row>
    <row r="31" spans="5:9" x14ac:dyDescent="0.25">
      <c r="E31" s="114" t="s">
        <v>322</v>
      </c>
      <c r="F31" s="114"/>
      <c r="H31" s="114"/>
      <c r="I31" s="114"/>
    </row>
    <row r="32" spans="5:9" x14ac:dyDescent="0.25">
      <c r="E32" s="151">
        <v>60</v>
      </c>
      <c r="H32" s="151"/>
    </row>
    <row r="33" spans="5:8" x14ac:dyDescent="0.25">
      <c r="E33" s="152"/>
      <c r="H33" s="152"/>
    </row>
    <row r="34" spans="5:8" x14ac:dyDescent="0.25">
      <c r="E34" s="152"/>
      <c r="H34" s="152"/>
    </row>
  </sheetData>
  <mergeCells count="1"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D284-738B-4A82-B684-0387EF1D47AB}">
  <dimension ref="C2:F17"/>
  <sheetViews>
    <sheetView workbookViewId="0">
      <selection activeCell="E24" sqref="E24"/>
    </sheetView>
  </sheetViews>
  <sheetFormatPr defaultColWidth="8.85546875" defaultRowHeight="15" x14ac:dyDescent="0.25"/>
  <cols>
    <col min="3" max="3" width="41.7109375" customWidth="1"/>
    <col min="4" max="4" width="9.42578125" customWidth="1"/>
    <col min="5" max="5" width="9.28515625" customWidth="1"/>
    <col min="6" max="6" width="9.85546875" customWidth="1"/>
  </cols>
  <sheetData>
    <row r="2" spans="3:6" x14ac:dyDescent="0.25">
      <c r="D2" t="s">
        <v>184</v>
      </c>
      <c r="E2" t="s">
        <v>185</v>
      </c>
      <c r="F2" t="s">
        <v>186</v>
      </c>
    </row>
    <row r="3" spans="3:6" x14ac:dyDescent="0.25">
      <c r="D3" s="114" t="s">
        <v>187</v>
      </c>
      <c r="E3" s="114" t="s">
        <v>188</v>
      </c>
      <c r="F3" s="114" t="s">
        <v>189</v>
      </c>
    </row>
    <row r="4" spans="3:6" x14ac:dyDescent="0.25">
      <c r="C4" t="s">
        <v>181</v>
      </c>
      <c r="D4">
        <v>500</v>
      </c>
      <c r="E4">
        <v>1000</v>
      </c>
      <c r="F4">
        <v>1500</v>
      </c>
    </row>
    <row r="5" spans="3:6" x14ac:dyDescent="0.25">
      <c r="C5" t="s">
        <v>182</v>
      </c>
      <c r="D5">
        <v>500</v>
      </c>
      <c r="E5">
        <v>500</v>
      </c>
      <c r="F5">
        <v>500</v>
      </c>
    </row>
    <row r="6" spans="3:6" ht="15.75" thickBot="1" x14ac:dyDescent="0.3">
      <c r="C6" t="s">
        <v>183</v>
      </c>
      <c r="D6" s="112">
        <f>D4+D5</f>
        <v>1000</v>
      </c>
      <c r="E6" s="112">
        <f>E4+E5</f>
        <v>1500</v>
      </c>
      <c r="F6" s="112">
        <f>F4+F5</f>
        <v>2000</v>
      </c>
    </row>
    <row r="7" spans="3:6" ht="15.75" thickTop="1" x14ac:dyDescent="0.25"/>
    <row r="8" spans="3:6" x14ac:dyDescent="0.25">
      <c r="D8" t="s">
        <v>184</v>
      </c>
      <c r="E8" t="s">
        <v>185</v>
      </c>
      <c r="F8" t="s">
        <v>186</v>
      </c>
    </row>
    <row r="9" spans="3:6" x14ac:dyDescent="0.25">
      <c r="D9" s="114" t="s">
        <v>187</v>
      </c>
      <c r="E9" s="114" t="s">
        <v>188</v>
      </c>
      <c r="F9" s="114" t="s">
        <v>189</v>
      </c>
    </row>
    <row r="10" spans="3:6" x14ac:dyDescent="0.25">
      <c r="C10" t="s">
        <v>190</v>
      </c>
      <c r="D10">
        <v>100</v>
      </c>
      <c r="E10">
        <v>100</v>
      </c>
      <c r="F10">
        <v>100</v>
      </c>
    </row>
    <row r="11" spans="3:6" x14ac:dyDescent="0.25">
      <c r="C11" t="s">
        <v>191</v>
      </c>
      <c r="D11">
        <v>50</v>
      </c>
      <c r="E11">
        <v>100</v>
      </c>
      <c r="F11">
        <v>150</v>
      </c>
    </row>
    <row r="12" spans="3:6" ht="15.75" thickBot="1" x14ac:dyDescent="0.3">
      <c r="C12" t="s">
        <v>192</v>
      </c>
      <c r="D12" s="112">
        <v>100</v>
      </c>
      <c r="E12" s="112">
        <v>100</v>
      </c>
      <c r="F12" s="112">
        <v>150</v>
      </c>
    </row>
    <row r="13" spans="3:6" ht="15.75" thickTop="1" x14ac:dyDescent="0.25"/>
    <row r="14" spans="3:6" x14ac:dyDescent="0.25">
      <c r="C14" t="s">
        <v>194</v>
      </c>
      <c r="D14">
        <f t="shared" ref="D14:F15" si="0">D4/D11</f>
        <v>10</v>
      </c>
      <c r="E14">
        <f t="shared" si="0"/>
        <v>10</v>
      </c>
      <c r="F14">
        <f t="shared" si="0"/>
        <v>10</v>
      </c>
    </row>
    <row r="15" spans="3:6" x14ac:dyDescent="0.25">
      <c r="C15" t="s">
        <v>193</v>
      </c>
      <c r="D15">
        <f t="shared" si="0"/>
        <v>5</v>
      </c>
      <c r="E15">
        <f t="shared" si="0"/>
        <v>5</v>
      </c>
      <c r="F15">
        <f t="shared" si="0"/>
        <v>3.3333333333333335</v>
      </c>
    </row>
    <row r="16" spans="3:6" ht="15.75" thickBot="1" x14ac:dyDescent="0.3">
      <c r="C16" t="s">
        <v>195</v>
      </c>
      <c r="D16" s="112">
        <f>D14+D15</f>
        <v>15</v>
      </c>
      <c r="E16" s="112">
        <f>E14+E15</f>
        <v>15</v>
      </c>
      <c r="F16" s="112">
        <f>F14+F15</f>
        <v>13.333333333333334</v>
      </c>
    </row>
    <row r="17" ht="15.75" thickTop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C39D-598A-4A91-A0FB-5F707B68559E}">
  <dimension ref="B3:F40"/>
  <sheetViews>
    <sheetView topLeftCell="A9" workbookViewId="0">
      <selection activeCell="C40" sqref="C40"/>
    </sheetView>
  </sheetViews>
  <sheetFormatPr defaultColWidth="8.85546875" defaultRowHeight="15" x14ac:dyDescent="0.25"/>
  <cols>
    <col min="2" max="2" width="51.42578125" customWidth="1"/>
    <col min="5" max="5" width="14.140625" customWidth="1"/>
    <col min="13" max="13" width="19.42578125" customWidth="1"/>
    <col min="14" max="14" width="23.5703125" customWidth="1"/>
    <col min="15" max="15" width="15.85546875" customWidth="1"/>
  </cols>
  <sheetData>
    <row r="3" spans="2:5" ht="13.5" customHeight="1" x14ac:dyDescent="0.25">
      <c r="C3" t="s">
        <v>185</v>
      </c>
      <c r="D3" t="s">
        <v>186</v>
      </c>
      <c r="E3" t="s">
        <v>208</v>
      </c>
    </row>
    <row r="4" spans="2:5" ht="18" customHeight="1" x14ac:dyDescent="0.25">
      <c r="B4" s="115" t="s">
        <v>207</v>
      </c>
      <c r="C4" s="13">
        <v>36470</v>
      </c>
      <c r="D4" s="13">
        <v>43785</v>
      </c>
      <c r="E4" s="13">
        <f>D4-C4</f>
        <v>7315</v>
      </c>
    </row>
    <row r="5" spans="2:5" x14ac:dyDescent="0.25">
      <c r="B5" t="s">
        <v>196</v>
      </c>
      <c r="C5" s="13">
        <v>6230</v>
      </c>
      <c r="D5" s="13">
        <v>6605</v>
      </c>
      <c r="E5" s="13">
        <f>D5-C5</f>
        <v>375</v>
      </c>
    </row>
    <row r="6" spans="2:5" x14ac:dyDescent="0.25">
      <c r="B6" t="s">
        <v>197</v>
      </c>
      <c r="C6" s="13">
        <v>6200</v>
      </c>
      <c r="D6" s="13">
        <v>6810</v>
      </c>
      <c r="E6" s="13">
        <f t="shared" ref="E6:E15" si="0">D6-C6</f>
        <v>610</v>
      </c>
    </row>
    <row r="7" spans="2:5" x14ac:dyDescent="0.25">
      <c r="B7" t="s">
        <v>198</v>
      </c>
      <c r="C7" s="13">
        <v>2175</v>
      </c>
      <c r="D7" s="13">
        <v>2530</v>
      </c>
      <c r="E7" s="13">
        <f t="shared" si="0"/>
        <v>355</v>
      </c>
    </row>
    <row r="8" spans="2:5" x14ac:dyDescent="0.25">
      <c r="B8" t="s">
        <v>199</v>
      </c>
      <c r="C8" s="13">
        <v>1095</v>
      </c>
      <c r="D8" s="13">
        <v>1690</v>
      </c>
      <c r="E8" s="13">
        <f t="shared" si="0"/>
        <v>595</v>
      </c>
    </row>
    <row r="9" spans="2:5" x14ac:dyDescent="0.25">
      <c r="B9" s="3" t="s">
        <v>200</v>
      </c>
      <c r="C9" s="116">
        <v>52170</v>
      </c>
      <c r="D9" s="116">
        <v>61420</v>
      </c>
      <c r="E9" s="116">
        <f t="shared" si="0"/>
        <v>9250</v>
      </c>
    </row>
    <row r="10" spans="2:5" x14ac:dyDescent="0.25">
      <c r="B10" t="s">
        <v>201</v>
      </c>
      <c r="C10" s="13">
        <v>20435</v>
      </c>
      <c r="D10" s="13">
        <v>23775</v>
      </c>
      <c r="E10" s="13">
        <f t="shared" si="0"/>
        <v>3340</v>
      </c>
    </row>
    <row r="11" spans="2:5" x14ac:dyDescent="0.25">
      <c r="B11" t="s">
        <v>202</v>
      </c>
      <c r="C11" s="13">
        <v>2285</v>
      </c>
      <c r="D11" s="13">
        <v>3390</v>
      </c>
      <c r="E11" s="13">
        <f t="shared" si="0"/>
        <v>1105</v>
      </c>
    </row>
    <row r="12" spans="2:5" x14ac:dyDescent="0.25">
      <c r="B12" t="s">
        <v>203</v>
      </c>
      <c r="C12" s="13">
        <v>25295</v>
      </c>
      <c r="D12" s="13">
        <v>29615</v>
      </c>
      <c r="E12" s="13">
        <f t="shared" si="0"/>
        <v>4320</v>
      </c>
    </row>
    <row r="13" spans="2:5" x14ac:dyDescent="0.25">
      <c r="B13" t="s">
        <v>204</v>
      </c>
      <c r="C13" s="13">
        <v>1370</v>
      </c>
      <c r="D13" s="13">
        <v>1575</v>
      </c>
      <c r="E13" s="13">
        <f t="shared" si="0"/>
        <v>205</v>
      </c>
    </row>
    <row r="14" spans="2:5" x14ac:dyDescent="0.25">
      <c r="B14" t="s">
        <v>205</v>
      </c>
      <c r="C14" s="13">
        <v>2785</v>
      </c>
      <c r="D14" s="13">
        <v>3065</v>
      </c>
      <c r="E14" s="13">
        <f t="shared" si="0"/>
        <v>280</v>
      </c>
    </row>
    <row r="15" spans="2:5" x14ac:dyDescent="0.25">
      <c r="B15" s="3" t="s">
        <v>206</v>
      </c>
      <c r="C15" s="116">
        <v>52170</v>
      </c>
      <c r="D15" s="116">
        <v>61420</v>
      </c>
      <c r="E15" s="116">
        <f t="shared" si="0"/>
        <v>9250</v>
      </c>
    </row>
    <row r="18" spans="2:6" x14ac:dyDescent="0.25">
      <c r="B18" t="s">
        <v>209</v>
      </c>
    </row>
    <row r="20" spans="2:6" x14ac:dyDescent="0.25">
      <c r="B20" t="s">
        <v>210</v>
      </c>
      <c r="C20">
        <v>6420</v>
      </c>
    </row>
    <row r="21" spans="2:6" x14ac:dyDescent="0.25">
      <c r="B21" t="s">
        <v>211</v>
      </c>
      <c r="C21">
        <v>3525</v>
      </c>
      <c r="F21" t="s">
        <v>309</v>
      </c>
    </row>
    <row r="22" spans="2:6" x14ac:dyDescent="0.25">
      <c r="B22" t="s">
        <v>212</v>
      </c>
      <c r="C22" s="13">
        <f>E11</f>
        <v>1105</v>
      </c>
    </row>
    <row r="23" spans="2:6" x14ac:dyDescent="0.25">
      <c r="B23" t="s">
        <v>213</v>
      </c>
      <c r="C23">
        <v>0</v>
      </c>
    </row>
    <row r="24" spans="2:6" x14ac:dyDescent="0.25">
      <c r="B24" t="s">
        <v>214</v>
      </c>
      <c r="C24" s="13">
        <f>-E5</f>
        <v>-375</v>
      </c>
    </row>
    <row r="25" spans="2:6" x14ac:dyDescent="0.25">
      <c r="B25" t="s">
        <v>197</v>
      </c>
      <c r="C25" s="13">
        <f>-E6</f>
        <v>-610</v>
      </c>
    </row>
    <row r="26" spans="2:6" x14ac:dyDescent="0.25">
      <c r="B26" t="s">
        <v>215</v>
      </c>
      <c r="C26" s="13">
        <f>-E7</f>
        <v>-355</v>
      </c>
    </row>
    <row r="27" spans="2:6" x14ac:dyDescent="0.25">
      <c r="B27" t="s">
        <v>216</v>
      </c>
      <c r="C27" s="13">
        <f>E14</f>
        <v>280</v>
      </c>
    </row>
    <row r="28" spans="2:6" x14ac:dyDescent="0.25">
      <c r="B28" t="s">
        <v>204</v>
      </c>
      <c r="C28" s="13">
        <f>E13</f>
        <v>205</v>
      </c>
    </row>
    <row r="29" spans="2:6" x14ac:dyDescent="0.25">
      <c r="B29" t="s">
        <v>217</v>
      </c>
      <c r="C29">
        <v>0</v>
      </c>
    </row>
    <row r="30" spans="2:6" x14ac:dyDescent="0.25">
      <c r="B30" s="3" t="s">
        <v>218</v>
      </c>
      <c r="C30" s="3">
        <f>SUM(C20:C29)</f>
        <v>10195</v>
      </c>
    </row>
    <row r="31" spans="2:6" x14ac:dyDescent="0.25">
      <c r="B31" t="s">
        <v>219</v>
      </c>
      <c r="C31" s="13">
        <v>-10840</v>
      </c>
      <c r="E31" s="13">
        <f>-E4-3525</f>
        <v>-10840</v>
      </c>
      <c r="F31" t="s">
        <v>310</v>
      </c>
    </row>
    <row r="32" spans="2:6" x14ac:dyDescent="0.25">
      <c r="B32" t="s">
        <v>220</v>
      </c>
      <c r="C32">
        <v>0</v>
      </c>
    </row>
    <row r="33" spans="2:5" x14ac:dyDescent="0.25">
      <c r="B33" s="3" t="s">
        <v>221</v>
      </c>
      <c r="C33" s="116">
        <f>SUM(C31:C32)</f>
        <v>-10840</v>
      </c>
    </row>
    <row r="34" spans="2:5" x14ac:dyDescent="0.25">
      <c r="B34" t="s">
        <v>222</v>
      </c>
      <c r="C34">
        <f>-680</f>
        <v>-680</v>
      </c>
      <c r="D34" t="s">
        <v>229</v>
      </c>
      <c r="E34" s="13">
        <f>E12-C35</f>
        <v>-680</v>
      </c>
    </row>
    <row r="35" spans="2:5" x14ac:dyDescent="0.25">
      <c r="B35" t="s">
        <v>223</v>
      </c>
      <c r="C35">
        <f>5000</f>
        <v>5000</v>
      </c>
    </row>
    <row r="36" spans="2:5" x14ac:dyDescent="0.25">
      <c r="B36" t="s">
        <v>224</v>
      </c>
      <c r="C36">
        <f>-3080</f>
        <v>-3080</v>
      </c>
    </row>
    <row r="37" spans="2:5" x14ac:dyDescent="0.25">
      <c r="B37" s="3" t="s">
        <v>225</v>
      </c>
      <c r="C37" s="3">
        <f>SUM(C34:C36)</f>
        <v>1240</v>
      </c>
    </row>
    <row r="38" spans="2:5" x14ac:dyDescent="0.25">
      <c r="B38" s="3" t="s">
        <v>226</v>
      </c>
      <c r="C38" s="13">
        <f>C8</f>
        <v>1095</v>
      </c>
    </row>
    <row r="39" spans="2:5" x14ac:dyDescent="0.25">
      <c r="B39" t="s">
        <v>227</v>
      </c>
      <c r="C39" s="13">
        <f>C30+C33+C37</f>
        <v>595</v>
      </c>
    </row>
    <row r="40" spans="2:5" x14ac:dyDescent="0.25">
      <c r="B40" t="s">
        <v>228</v>
      </c>
      <c r="C40" s="13">
        <f>C38+C39</f>
        <v>1690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0069-D7F9-4E63-AF92-65B338CA2C46}">
  <dimension ref="B2:W60"/>
  <sheetViews>
    <sheetView tabSelected="1" workbookViewId="0">
      <selection activeCell="K16" sqref="K16"/>
    </sheetView>
  </sheetViews>
  <sheetFormatPr defaultColWidth="8.85546875" defaultRowHeight="15" x14ac:dyDescent="0.25"/>
  <cols>
    <col min="4" max="4" width="20.85546875" customWidth="1"/>
    <col min="5" max="5" width="14" customWidth="1"/>
    <col min="6" max="6" width="13.42578125" customWidth="1"/>
    <col min="7" max="7" width="16.140625" customWidth="1"/>
    <col min="12" max="12" width="15.42578125" customWidth="1"/>
  </cols>
  <sheetData>
    <row r="2" spans="2:23" x14ac:dyDescent="0.25">
      <c r="D2" s="147" t="s">
        <v>148</v>
      </c>
      <c r="E2" s="148"/>
    </row>
    <row r="3" spans="2:23" x14ac:dyDescent="0.25">
      <c r="D3" s="90" t="s">
        <v>149</v>
      </c>
      <c r="E3" s="91">
        <v>5</v>
      </c>
      <c r="F3" s="92" t="s">
        <v>116</v>
      </c>
      <c r="G3" s="92" t="s">
        <v>120</v>
      </c>
      <c r="H3" s="92" t="s">
        <v>123</v>
      </c>
      <c r="I3" s="92" t="s">
        <v>150</v>
      </c>
    </row>
    <row r="4" spans="2:23" x14ac:dyDescent="0.25">
      <c r="D4" s="90" t="s">
        <v>151</v>
      </c>
      <c r="E4" s="91">
        <v>32000</v>
      </c>
      <c r="F4" s="93">
        <v>10000</v>
      </c>
      <c r="G4" s="91">
        <v>12000</v>
      </c>
      <c r="H4" s="91">
        <v>4000</v>
      </c>
      <c r="I4" s="91">
        <v>6000</v>
      </c>
    </row>
    <row r="5" spans="2:23" x14ac:dyDescent="0.25">
      <c r="D5" s="90" t="s">
        <v>152</v>
      </c>
      <c r="E5" s="91">
        <v>280000</v>
      </c>
    </row>
    <row r="6" spans="2:23" x14ac:dyDescent="0.25">
      <c r="D6" s="90" t="s">
        <v>153</v>
      </c>
      <c r="E6" s="91">
        <v>20000</v>
      </c>
    </row>
    <row r="8" spans="2:23" x14ac:dyDescent="0.25">
      <c r="B8" s="94"/>
      <c r="C8" s="149" t="s">
        <v>154</v>
      </c>
      <c r="D8" s="149"/>
      <c r="E8" s="149"/>
      <c r="F8" s="94"/>
      <c r="G8" s="94"/>
      <c r="H8" s="94"/>
      <c r="I8" s="94"/>
    </row>
    <row r="9" spans="2:23" x14ac:dyDescent="0.25">
      <c r="C9" s="95"/>
      <c r="D9" s="95"/>
      <c r="E9" s="95"/>
    </row>
    <row r="10" spans="2:23" x14ac:dyDescent="0.25">
      <c r="D10" s="96" t="s">
        <v>149</v>
      </c>
      <c r="E10" s="97">
        <v>3</v>
      </c>
    </row>
    <row r="11" spans="2:23" x14ac:dyDescent="0.25">
      <c r="D11" s="96" t="s">
        <v>152</v>
      </c>
      <c r="E11" s="97">
        <f>J17</f>
        <v>764</v>
      </c>
    </row>
    <row r="12" spans="2:23" x14ac:dyDescent="0.25">
      <c r="D12" s="96" t="s">
        <v>153</v>
      </c>
      <c r="E12" s="97">
        <v>14</v>
      </c>
      <c r="I12" t="s">
        <v>312</v>
      </c>
    </row>
    <row r="13" spans="2:23" x14ac:dyDescent="0.25">
      <c r="D13" s="96" t="s">
        <v>155</v>
      </c>
      <c r="E13" s="98">
        <f>E11-E12</f>
        <v>750</v>
      </c>
      <c r="I13" s="95" t="s">
        <v>311</v>
      </c>
      <c r="J13">
        <v>750</v>
      </c>
    </row>
    <row r="14" spans="2:23" x14ac:dyDescent="0.25">
      <c r="D14" s="96" t="s">
        <v>156</v>
      </c>
      <c r="E14" s="99">
        <f>1/E10</f>
        <v>0.33333333333333331</v>
      </c>
      <c r="I14" t="s">
        <v>313</v>
      </c>
      <c r="J14">
        <v>-21</v>
      </c>
    </row>
    <row r="15" spans="2:23" x14ac:dyDescent="0.25">
      <c r="D15" s="96" t="s">
        <v>157</v>
      </c>
      <c r="E15" s="98">
        <f>E14*E13</f>
        <v>250</v>
      </c>
      <c r="I15" t="s">
        <v>314</v>
      </c>
      <c r="J15">
        <v>13</v>
      </c>
    </row>
    <row r="16" spans="2:23" x14ac:dyDescent="0.25">
      <c r="I16" t="s">
        <v>315</v>
      </c>
      <c r="J16">
        <v>22</v>
      </c>
      <c r="L16" s="114" t="s">
        <v>333</v>
      </c>
      <c r="M16" s="114"/>
      <c r="O16" s="114" t="s">
        <v>331</v>
      </c>
      <c r="P16" s="114"/>
      <c r="R16" s="114" t="s">
        <v>332</v>
      </c>
      <c r="S16" s="114"/>
      <c r="V16" s="114" t="s">
        <v>334</v>
      </c>
      <c r="W16" s="114"/>
    </row>
    <row r="17" spans="2:22" ht="32.25" customHeight="1" x14ac:dyDescent="0.25">
      <c r="C17" s="90" t="s">
        <v>158</v>
      </c>
      <c r="D17" s="100" t="s">
        <v>159</v>
      </c>
      <c r="E17" s="100" t="s">
        <v>160</v>
      </c>
      <c r="F17" s="100" t="s">
        <v>161</v>
      </c>
      <c r="G17" s="100" t="s">
        <v>162</v>
      </c>
      <c r="I17" t="s">
        <v>230</v>
      </c>
      <c r="J17">
        <f>SUM(J13:J16)</f>
        <v>764</v>
      </c>
      <c r="K17" t="s">
        <v>335</v>
      </c>
      <c r="L17" s="152"/>
      <c r="O17" s="152">
        <v>764</v>
      </c>
      <c r="R17" s="151"/>
      <c r="S17">
        <v>500</v>
      </c>
      <c r="V17" s="151"/>
    </row>
    <row r="18" spans="2:22" x14ac:dyDescent="0.25">
      <c r="C18" s="101">
        <v>0</v>
      </c>
      <c r="D18" s="101"/>
      <c r="E18" s="101"/>
      <c r="F18" s="101"/>
      <c r="G18" s="102">
        <f>E11</f>
        <v>764</v>
      </c>
      <c r="K18" t="s">
        <v>336</v>
      </c>
      <c r="L18" s="152"/>
      <c r="O18" s="152"/>
      <c r="P18">
        <v>500</v>
      </c>
      <c r="R18" s="152">
        <v>500</v>
      </c>
      <c r="V18" s="152"/>
    </row>
    <row r="19" spans="2:22" x14ac:dyDescent="0.25">
      <c r="C19" s="101">
        <v>1</v>
      </c>
      <c r="D19" s="103">
        <f>E11</f>
        <v>764</v>
      </c>
      <c r="E19" s="103">
        <f>E15</f>
        <v>250</v>
      </c>
      <c r="F19" s="103">
        <f>F18+E19</f>
        <v>250</v>
      </c>
      <c r="G19" s="103">
        <f>G18-E19</f>
        <v>514</v>
      </c>
      <c r="K19" t="s">
        <v>337</v>
      </c>
      <c r="L19" s="152">
        <v>50</v>
      </c>
      <c r="O19" s="152"/>
      <c r="P19">
        <v>264</v>
      </c>
      <c r="R19" s="152"/>
      <c r="V19" s="152">
        <v>214</v>
      </c>
    </row>
    <row r="20" spans="2:22" x14ac:dyDescent="0.25">
      <c r="C20" s="101">
        <v>2</v>
      </c>
      <c r="D20" s="103">
        <f>G19</f>
        <v>514</v>
      </c>
      <c r="E20" s="103">
        <v>250</v>
      </c>
      <c r="F20" s="103">
        <f>F19+E20</f>
        <v>500</v>
      </c>
      <c r="G20" s="103">
        <f>G19-E20</f>
        <v>264</v>
      </c>
    </row>
    <row r="21" spans="2:22" x14ac:dyDescent="0.25">
      <c r="C21" s="101">
        <v>3</v>
      </c>
      <c r="D21" s="103">
        <f>G20</f>
        <v>264</v>
      </c>
      <c r="E21" s="103">
        <v>250</v>
      </c>
      <c r="F21" s="103">
        <f t="shared" ref="F21:F23" si="0">F20+E21</f>
        <v>750</v>
      </c>
      <c r="G21" s="103">
        <f t="shared" ref="G21:G23" si="1">G20-E21</f>
        <v>14</v>
      </c>
    </row>
    <row r="22" spans="2:22" x14ac:dyDescent="0.25">
      <c r="C22" s="101"/>
      <c r="D22" s="103"/>
      <c r="E22" s="103"/>
      <c r="F22" s="103"/>
      <c r="G22" s="103"/>
    </row>
    <row r="23" spans="2:22" x14ac:dyDescent="0.25">
      <c r="C23" s="101"/>
      <c r="D23" s="103"/>
      <c r="E23" s="103"/>
      <c r="F23" s="103"/>
      <c r="G23" s="103"/>
    </row>
    <row r="27" spans="2:22" x14ac:dyDescent="0.25">
      <c r="B27" s="94"/>
      <c r="C27" s="149" t="s">
        <v>163</v>
      </c>
      <c r="D27" s="149"/>
      <c r="E27" s="149"/>
      <c r="F27" s="94"/>
      <c r="G27" s="94"/>
    </row>
    <row r="28" spans="2:22" x14ac:dyDescent="0.25">
      <c r="C28" s="95"/>
      <c r="D28" s="95"/>
      <c r="E28" s="95"/>
    </row>
    <row r="29" spans="2:22" x14ac:dyDescent="0.25">
      <c r="D29" s="96" t="s">
        <v>151</v>
      </c>
      <c r="E29" s="104">
        <f>SUM(G29:G33)</f>
        <v>125000</v>
      </c>
      <c r="F29" s="105" t="s">
        <v>164</v>
      </c>
      <c r="G29" s="106">
        <v>30000</v>
      </c>
    </row>
    <row r="30" spans="2:22" x14ac:dyDescent="0.25">
      <c r="D30" s="96" t="s">
        <v>152</v>
      </c>
      <c r="E30" s="104">
        <f>J17</f>
        <v>764</v>
      </c>
      <c r="F30" s="105" t="s">
        <v>165</v>
      </c>
      <c r="G30" s="106">
        <v>27500</v>
      </c>
    </row>
    <row r="31" spans="2:22" x14ac:dyDescent="0.25">
      <c r="D31" s="96" t="s">
        <v>153</v>
      </c>
      <c r="E31" s="104">
        <v>20000</v>
      </c>
      <c r="F31" s="105" t="s">
        <v>166</v>
      </c>
      <c r="G31" s="106">
        <v>25000</v>
      </c>
    </row>
    <row r="32" spans="2:22" x14ac:dyDescent="0.25">
      <c r="D32" s="96" t="s">
        <v>155</v>
      </c>
      <c r="E32" s="107">
        <v>260000</v>
      </c>
      <c r="F32" s="105" t="s">
        <v>167</v>
      </c>
      <c r="G32" s="106">
        <v>22500</v>
      </c>
    </row>
    <row r="33" spans="2:7" x14ac:dyDescent="0.25">
      <c r="C33" s="95"/>
      <c r="D33" s="96" t="s">
        <v>156</v>
      </c>
      <c r="E33" s="99">
        <f>E32/E29</f>
        <v>2.08</v>
      </c>
      <c r="F33" s="105" t="s">
        <v>231</v>
      </c>
      <c r="G33" s="106">
        <v>20000</v>
      </c>
    </row>
    <row r="34" spans="2:7" x14ac:dyDescent="0.25">
      <c r="D34" s="95"/>
      <c r="E34" s="95"/>
    </row>
    <row r="35" spans="2:7" x14ac:dyDescent="0.25">
      <c r="C35" s="95"/>
      <c r="D35" s="95"/>
      <c r="E35" s="95"/>
    </row>
    <row r="36" spans="2:7" ht="30" customHeight="1" x14ac:dyDescent="0.25">
      <c r="C36" s="90" t="s">
        <v>158</v>
      </c>
      <c r="D36" s="100" t="s">
        <v>159</v>
      </c>
      <c r="E36" s="100" t="s">
        <v>160</v>
      </c>
      <c r="F36" s="100" t="s">
        <v>161</v>
      </c>
      <c r="G36" s="100" t="s">
        <v>162</v>
      </c>
    </row>
    <row r="37" spans="2:7" x14ac:dyDescent="0.25">
      <c r="C37" s="101">
        <v>0</v>
      </c>
      <c r="D37" s="101"/>
      <c r="E37" s="101"/>
      <c r="F37" s="101"/>
      <c r="G37" s="102">
        <v>280000</v>
      </c>
    </row>
    <row r="38" spans="2:7" x14ac:dyDescent="0.25">
      <c r="C38" s="101">
        <v>1</v>
      </c>
      <c r="D38" s="103">
        <f>G37</f>
        <v>280000</v>
      </c>
      <c r="E38" s="103">
        <f>G29*$E$33</f>
        <v>62400</v>
      </c>
      <c r="F38" s="103">
        <f>F37+E38</f>
        <v>62400</v>
      </c>
      <c r="G38" s="103">
        <f>D38-E38</f>
        <v>217600</v>
      </c>
    </row>
    <row r="39" spans="2:7" x14ac:dyDescent="0.25">
      <c r="C39" s="101">
        <v>2</v>
      </c>
      <c r="D39" s="103">
        <f>G38</f>
        <v>217600</v>
      </c>
      <c r="E39" s="103">
        <f>G30*$E$33</f>
        <v>57200</v>
      </c>
      <c r="F39" s="103">
        <f>E39+F38</f>
        <v>119600</v>
      </c>
      <c r="G39" s="103">
        <f>D39-E39</f>
        <v>160400</v>
      </c>
    </row>
    <row r="40" spans="2:7" x14ac:dyDescent="0.25">
      <c r="C40" s="101">
        <v>3</v>
      </c>
      <c r="D40" s="103">
        <f t="shared" ref="D40:D42" si="2">G39</f>
        <v>160400</v>
      </c>
      <c r="E40" s="103">
        <f t="shared" ref="E40:E42" si="3">G31*$E$33</f>
        <v>52000</v>
      </c>
      <c r="F40" s="103">
        <f>F39+E40</f>
        <v>171600</v>
      </c>
      <c r="G40" s="103">
        <f t="shared" ref="G40:G42" si="4">D40-E40</f>
        <v>108400</v>
      </c>
    </row>
    <row r="41" spans="2:7" x14ac:dyDescent="0.25">
      <c r="C41" s="101">
        <v>4</v>
      </c>
      <c r="D41" s="103">
        <f t="shared" si="2"/>
        <v>108400</v>
      </c>
      <c r="E41" s="103">
        <f t="shared" si="3"/>
        <v>46800</v>
      </c>
      <c r="F41" s="103">
        <f>E41+F40</f>
        <v>218400</v>
      </c>
      <c r="G41" s="103">
        <f t="shared" si="4"/>
        <v>61600</v>
      </c>
    </row>
    <row r="42" spans="2:7" x14ac:dyDescent="0.25">
      <c r="C42" s="101">
        <v>5</v>
      </c>
      <c r="D42" s="103">
        <f t="shared" si="2"/>
        <v>61600</v>
      </c>
      <c r="E42" s="103">
        <f t="shared" si="3"/>
        <v>41600</v>
      </c>
      <c r="F42" s="103">
        <f>F41+E42</f>
        <v>260000</v>
      </c>
      <c r="G42" s="103">
        <f t="shared" si="4"/>
        <v>20000</v>
      </c>
    </row>
    <row r="46" spans="2:7" x14ac:dyDescent="0.25">
      <c r="B46" s="94"/>
      <c r="C46" s="149" t="s">
        <v>168</v>
      </c>
      <c r="D46" s="149"/>
      <c r="E46" s="149"/>
      <c r="F46" s="94"/>
      <c r="G46" s="94"/>
    </row>
    <row r="47" spans="2:7" x14ac:dyDescent="0.25">
      <c r="C47" s="95"/>
      <c r="D47" s="95"/>
      <c r="E47" s="95"/>
    </row>
    <row r="48" spans="2:7" x14ac:dyDescent="0.25">
      <c r="C48" s="95"/>
      <c r="D48" s="96" t="s">
        <v>149</v>
      </c>
      <c r="E48" s="97">
        <v>5</v>
      </c>
    </row>
    <row r="49" spans="3:7" x14ac:dyDescent="0.25">
      <c r="D49" s="96" t="s">
        <v>152</v>
      </c>
      <c r="E49" s="97">
        <f>280000</f>
        <v>280000</v>
      </c>
    </row>
    <row r="50" spans="3:7" x14ac:dyDescent="0.25">
      <c r="D50" s="96" t="s">
        <v>153</v>
      </c>
      <c r="E50" s="97">
        <v>20000</v>
      </c>
    </row>
    <row r="51" spans="3:7" x14ac:dyDescent="0.25">
      <c r="C51" s="95"/>
      <c r="D51" s="96" t="s">
        <v>156</v>
      </c>
      <c r="E51" s="99">
        <f>(1/E48)*2</f>
        <v>0.4</v>
      </c>
      <c r="F51" s="108" t="s">
        <v>169</v>
      </c>
    </row>
    <row r="52" spans="3:7" x14ac:dyDescent="0.25">
      <c r="D52" s="95"/>
      <c r="E52" s="95"/>
    </row>
    <row r="53" spans="3:7" x14ac:dyDescent="0.25">
      <c r="C53" s="95"/>
      <c r="D53" s="95"/>
      <c r="E53" s="95"/>
    </row>
    <row r="54" spans="3:7" ht="40.5" customHeight="1" x14ac:dyDescent="0.25">
      <c r="C54" s="90" t="s">
        <v>158</v>
      </c>
      <c r="D54" s="100" t="s">
        <v>159</v>
      </c>
      <c r="E54" s="100" t="s">
        <v>160</v>
      </c>
      <c r="F54" s="100" t="s">
        <v>161</v>
      </c>
      <c r="G54" s="100" t="s">
        <v>162</v>
      </c>
    </row>
    <row r="55" spans="3:7" x14ac:dyDescent="0.25">
      <c r="C55" s="101">
        <v>0</v>
      </c>
      <c r="D55" s="101"/>
      <c r="E55" s="101"/>
      <c r="F55" s="101"/>
      <c r="G55" s="109">
        <v>280000</v>
      </c>
    </row>
    <row r="56" spans="3:7" x14ac:dyDescent="0.25">
      <c r="C56" s="101">
        <v>1</v>
      </c>
      <c r="D56" s="103">
        <v>280000</v>
      </c>
      <c r="E56" s="103">
        <f>D56*E51</f>
        <v>112000</v>
      </c>
      <c r="F56" s="103">
        <f>E56</f>
        <v>112000</v>
      </c>
      <c r="G56" s="103">
        <f>D56-E56</f>
        <v>168000</v>
      </c>
    </row>
    <row r="57" spans="3:7" x14ac:dyDescent="0.25">
      <c r="C57" s="101">
        <v>2</v>
      </c>
      <c r="D57" s="103">
        <f>G56</f>
        <v>168000</v>
      </c>
      <c r="E57" s="103">
        <f>D57*E51</f>
        <v>67200</v>
      </c>
      <c r="F57" s="103">
        <f>F56+E57</f>
        <v>179200</v>
      </c>
      <c r="G57" s="103">
        <f>D57-E57</f>
        <v>100800</v>
      </c>
    </row>
    <row r="58" spans="3:7" x14ac:dyDescent="0.25">
      <c r="C58" s="101">
        <v>3</v>
      </c>
      <c r="D58" s="103">
        <f>G57</f>
        <v>100800</v>
      </c>
      <c r="E58" s="103">
        <f>D58*E51</f>
        <v>40320</v>
      </c>
      <c r="F58" s="103">
        <f>E58+F57</f>
        <v>219520</v>
      </c>
      <c r="G58" s="103">
        <f>D58-E58</f>
        <v>60480</v>
      </c>
    </row>
    <row r="59" spans="3:7" x14ac:dyDescent="0.25">
      <c r="C59" s="101">
        <v>4</v>
      </c>
      <c r="D59" s="103">
        <f>G58</f>
        <v>60480</v>
      </c>
      <c r="E59" s="103">
        <f>D59*E51</f>
        <v>24192</v>
      </c>
      <c r="F59" s="103">
        <f>F58+E59</f>
        <v>243712</v>
      </c>
      <c r="G59" s="117">
        <f>D59-E59</f>
        <v>36288</v>
      </c>
    </row>
    <row r="60" spans="3:7" x14ac:dyDescent="0.25">
      <c r="C60" s="101">
        <v>5</v>
      </c>
      <c r="D60" s="103">
        <f>G59</f>
        <v>36288</v>
      </c>
      <c r="E60" s="103">
        <f>D60-20000</f>
        <v>16288</v>
      </c>
      <c r="F60" s="103">
        <f>F59+E60</f>
        <v>260000</v>
      </c>
      <c r="G60" s="103">
        <f>D60-E60</f>
        <v>20000</v>
      </c>
    </row>
  </sheetData>
  <mergeCells count="4">
    <mergeCell ref="D2:E2"/>
    <mergeCell ref="C8:E8"/>
    <mergeCell ref="C27:E27"/>
    <mergeCell ref="C46:E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459-31D0-49F0-90FC-8CB369A0F2D5}">
  <dimension ref="B2:L48"/>
  <sheetViews>
    <sheetView topLeftCell="A16" workbookViewId="0">
      <selection activeCell="J17" sqref="J17"/>
    </sheetView>
  </sheetViews>
  <sheetFormatPr defaultColWidth="8.85546875" defaultRowHeight="15" x14ac:dyDescent="0.25"/>
  <cols>
    <col min="4" max="4" width="18.85546875" customWidth="1"/>
    <col min="5" max="5" width="13.42578125" customWidth="1"/>
    <col min="6" max="6" width="14" customWidth="1"/>
    <col min="7" max="7" width="20.7109375" customWidth="1"/>
    <col min="8" max="8" width="13.42578125" bestFit="1" customWidth="1"/>
    <col min="11" max="11" width="34.7109375" customWidth="1"/>
    <col min="12" max="12" width="9.140625" bestFit="1" customWidth="1"/>
    <col min="13" max="13" width="14.7109375" customWidth="1"/>
  </cols>
  <sheetData>
    <row r="2" spans="2:12" x14ac:dyDescent="0.25">
      <c r="D2" s="147" t="s">
        <v>148</v>
      </c>
      <c r="E2" s="148"/>
      <c r="K2" s="118" t="s">
        <v>232</v>
      </c>
      <c r="L2" s="119">
        <v>3400000</v>
      </c>
    </row>
    <row r="3" spans="2:12" x14ac:dyDescent="0.25">
      <c r="D3" s="90" t="s">
        <v>149</v>
      </c>
      <c r="E3" s="91">
        <v>8</v>
      </c>
      <c r="F3" s="92" t="s">
        <v>116</v>
      </c>
      <c r="G3" s="92" t="s">
        <v>120</v>
      </c>
      <c r="H3" s="92" t="s">
        <v>123</v>
      </c>
      <c r="I3" s="92" t="s">
        <v>150</v>
      </c>
      <c r="K3" s="118" t="s">
        <v>233</v>
      </c>
      <c r="L3" s="118">
        <v>-340000</v>
      </c>
    </row>
    <row r="4" spans="2:12" x14ac:dyDescent="0.25">
      <c r="D4" s="90" t="s">
        <v>151</v>
      </c>
      <c r="E4" s="91"/>
      <c r="F4" s="93"/>
      <c r="G4" s="91"/>
      <c r="H4" s="91"/>
      <c r="I4" s="91"/>
      <c r="K4" t="s">
        <v>234</v>
      </c>
      <c r="L4">
        <v>65000</v>
      </c>
    </row>
    <row r="5" spans="2:12" x14ac:dyDescent="0.25">
      <c r="D5" s="90" t="s">
        <v>152</v>
      </c>
      <c r="E5" s="91">
        <f>L14</f>
        <v>3247000</v>
      </c>
      <c r="K5" s="118" t="s">
        <v>235</v>
      </c>
      <c r="L5" s="118">
        <v>35000</v>
      </c>
    </row>
    <row r="6" spans="2:12" x14ac:dyDescent="0.25">
      <c r="D6" s="90" t="s">
        <v>153</v>
      </c>
      <c r="E6" s="91">
        <v>20000</v>
      </c>
      <c r="K6" s="118" t="s">
        <v>236</v>
      </c>
      <c r="L6" s="118">
        <v>55000</v>
      </c>
    </row>
    <row r="7" spans="2:12" x14ac:dyDescent="0.25">
      <c r="K7" t="s">
        <v>237</v>
      </c>
      <c r="L7">
        <v>18000</v>
      </c>
    </row>
    <row r="8" spans="2:12" x14ac:dyDescent="0.25">
      <c r="B8" s="94"/>
      <c r="C8" s="149" t="s">
        <v>154</v>
      </c>
      <c r="D8" s="149"/>
      <c r="E8" s="149"/>
      <c r="F8" s="94"/>
      <c r="G8" s="94"/>
      <c r="H8" s="94"/>
      <c r="I8" s="94"/>
      <c r="K8" s="118" t="s">
        <v>238</v>
      </c>
      <c r="L8" s="118">
        <v>45000</v>
      </c>
    </row>
    <row r="9" spans="2:12" x14ac:dyDescent="0.25">
      <c r="C9" s="95"/>
      <c r="D9" s="95"/>
      <c r="E9" s="95"/>
      <c r="K9" t="s">
        <v>239</v>
      </c>
      <c r="L9">
        <v>75000</v>
      </c>
    </row>
    <row r="10" spans="2:12" x14ac:dyDescent="0.25">
      <c r="D10" s="96" t="s">
        <v>149</v>
      </c>
      <c r="E10" s="97">
        <v>8</v>
      </c>
      <c r="K10" s="118" t="s">
        <v>240</v>
      </c>
      <c r="L10" s="118">
        <v>52000</v>
      </c>
    </row>
    <row r="11" spans="2:12" x14ac:dyDescent="0.25">
      <c r="D11" s="96" t="s">
        <v>152</v>
      </c>
      <c r="E11" s="97">
        <f>E5</f>
        <v>3247000</v>
      </c>
      <c r="K11" t="s">
        <v>241</v>
      </c>
      <c r="L11">
        <v>70000</v>
      </c>
    </row>
    <row r="12" spans="2:12" x14ac:dyDescent="0.25">
      <c r="D12" s="96" t="s">
        <v>153</v>
      </c>
      <c r="E12" s="97">
        <f>E11*0.12</f>
        <v>389640</v>
      </c>
      <c r="K12" t="s">
        <v>242</v>
      </c>
      <c r="L12" s="13">
        <v>30000</v>
      </c>
    </row>
    <row r="13" spans="2:12" x14ac:dyDescent="0.25">
      <c r="D13" s="96" t="s">
        <v>155</v>
      </c>
      <c r="E13" s="98">
        <f>E11-E12</f>
        <v>2857360</v>
      </c>
    </row>
    <row r="14" spans="2:12" x14ac:dyDescent="0.25">
      <c r="D14" s="96" t="s">
        <v>156</v>
      </c>
      <c r="E14" s="120">
        <f>1/E10</f>
        <v>0.125</v>
      </c>
      <c r="K14" t="s">
        <v>243</v>
      </c>
      <c r="L14" s="13">
        <f>L2+L3+L5+L6+L10+L8</f>
        <v>3247000</v>
      </c>
    </row>
    <row r="15" spans="2:12" x14ac:dyDescent="0.25">
      <c r="D15" s="96" t="s">
        <v>157</v>
      </c>
      <c r="E15" s="98">
        <f>E14*E13</f>
        <v>357170</v>
      </c>
    </row>
    <row r="17" spans="2:8" ht="44.25" customHeight="1" x14ac:dyDescent="0.25">
      <c r="C17" s="90" t="s">
        <v>158</v>
      </c>
      <c r="D17" s="100" t="s">
        <v>159</v>
      </c>
      <c r="E17" s="100" t="s">
        <v>160</v>
      </c>
      <c r="F17" s="100" t="s">
        <v>161</v>
      </c>
      <c r="G17" s="100" t="s">
        <v>162</v>
      </c>
    </row>
    <row r="18" spans="2:8" x14ac:dyDescent="0.25">
      <c r="C18" s="101">
        <v>0</v>
      </c>
      <c r="D18" s="101"/>
      <c r="E18" s="101"/>
      <c r="F18" s="101"/>
      <c r="G18" s="102">
        <f>E11</f>
        <v>3247000</v>
      </c>
    </row>
    <row r="19" spans="2:8" x14ac:dyDescent="0.25">
      <c r="C19" s="101">
        <v>1</v>
      </c>
      <c r="D19" s="103">
        <f>G18</f>
        <v>3247000</v>
      </c>
      <c r="E19" s="103">
        <v>357170</v>
      </c>
      <c r="F19" s="103">
        <f>F18+E19</f>
        <v>357170</v>
      </c>
      <c r="G19" s="103">
        <f>D19-E19</f>
        <v>2889830</v>
      </c>
    </row>
    <row r="20" spans="2:8" x14ac:dyDescent="0.25">
      <c r="C20" s="101">
        <v>2</v>
      </c>
      <c r="D20" s="103">
        <f>G19</f>
        <v>2889830</v>
      </c>
      <c r="E20" s="103">
        <v>357170</v>
      </c>
      <c r="F20" s="103">
        <f>F19+E20</f>
        <v>714340</v>
      </c>
      <c r="G20" s="103">
        <f>D20-E20</f>
        <v>2532660</v>
      </c>
    </row>
    <row r="21" spans="2:8" x14ac:dyDescent="0.25">
      <c r="C21" s="101">
        <v>3</v>
      </c>
      <c r="D21" s="103">
        <f t="shared" ref="D21:D26" si="0">G20</f>
        <v>2532660</v>
      </c>
      <c r="E21" s="103">
        <v>357170</v>
      </c>
      <c r="F21" s="103">
        <f t="shared" ref="F21:F26" si="1">F20+E21</f>
        <v>1071510</v>
      </c>
      <c r="G21" s="103">
        <f t="shared" ref="G21:G26" si="2">D21-E21</f>
        <v>2175490</v>
      </c>
    </row>
    <row r="22" spans="2:8" x14ac:dyDescent="0.25">
      <c r="C22" s="101">
        <v>4</v>
      </c>
      <c r="D22" s="103">
        <f t="shared" si="0"/>
        <v>2175490</v>
      </c>
      <c r="E22" s="103">
        <v>357170</v>
      </c>
      <c r="F22" s="103">
        <f t="shared" si="1"/>
        <v>1428680</v>
      </c>
      <c r="G22" s="103">
        <f t="shared" si="2"/>
        <v>1818320</v>
      </c>
    </row>
    <row r="23" spans="2:8" x14ac:dyDescent="0.25">
      <c r="C23" s="101">
        <v>5</v>
      </c>
      <c r="D23" s="103">
        <f t="shared" si="0"/>
        <v>1818320</v>
      </c>
      <c r="E23" s="103">
        <v>357170</v>
      </c>
      <c r="F23" s="103">
        <f t="shared" si="1"/>
        <v>1785850</v>
      </c>
      <c r="G23" s="103">
        <f t="shared" si="2"/>
        <v>1461150</v>
      </c>
    </row>
    <row r="24" spans="2:8" x14ac:dyDescent="0.25">
      <c r="C24" s="101">
        <v>6</v>
      </c>
      <c r="D24" s="103">
        <f t="shared" si="0"/>
        <v>1461150</v>
      </c>
      <c r="E24" s="103">
        <v>357170</v>
      </c>
      <c r="F24" s="103">
        <f t="shared" si="1"/>
        <v>2143020</v>
      </c>
      <c r="G24" s="103">
        <f t="shared" si="2"/>
        <v>1103980</v>
      </c>
    </row>
    <row r="25" spans="2:8" x14ac:dyDescent="0.25">
      <c r="C25" s="101">
        <v>7</v>
      </c>
      <c r="D25" s="103">
        <f t="shared" si="0"/>
        <v>1103980</v>
      </c>
      <c r="E25" s="103">
        <v>357170</v>
      </c>
      <c r="F25" s="103">
        <f t="shared" si="1"/>
        <v>2500190</v>
      </c>
      <c r="G25" s="103">
        <f t="shared" si="2"/>
        <v>746810</v>
      </c>
    </row>
    <row r="26" spans="2:8" x14ac:dyDescent="0.25">
      <c r="C26" s="101">
        <v>8</v>
      </c>
      <c r="D26" s="103">
        <f t="shared" si="0"/>
        <v>746810</v>
      </c>
      <c r="E26" s="103">
        <v>357170</v>
      </c>
      <c r="F26" s="103">
        <f t="shared" si="1"/>
        <v>2857360</v>
      </c>
      <c r="G26" s="103">
        <f t="shared" si="2"/>
        <v>389640</v>
      </c>
    </row>
    <row r="28" spans="2:8" x14ac:dyDescent="0.25">
      <c r="C28" t="s">
        <v>244</v>
      </c>
      <c r="D28" t="s">
        <v>245</v>
      </c>
    </row>
    <row r="30" spans="2:8" x14ac:dyDescent="0.25">
      <c r="B30" s="94"/>
      <c r="C30" s="149" t="s">
        <v>154</v>
      </c>
      <c r="D30" s="149"/>
      <c r="E30" s="149"/>
      <c r="F30" s="94"/>
      <c r="G30" s="94"/>
      <c r="H30" s="94"/>
    </row>
    <row r="31" spans="2:8" x14ac:dyDescent="0.25">
      <c r="C31" s="95"/>
      <c r="D31" s="95"/>
      <c r="E31" s="95"/>
    </row>
    <row r="32" spans="2:8" x14ac:dyDescent="0.25">
      <c r="D32" s="96" t="s">
        <v>149</v>
      </c>
      <c r="E32" s="97">
        <v>8</v>
      </c>
      <c r="G32" s="96" t="s">
        <v>149</v>
      </c>
      <c r="H32" s="97">
        <v>4</v>
      </c>
    </row>
    <row r="33" spans="3:8" x14ac:dyDescent="0.25">
      <c r="D33" s="96" t="s">
        <v>152</v>
      </c>
      <c r="E33" s="97">
        <f>E5</f>
        <v>3247000</v>
      </c>
      <c r="G33" s="96" t="s">
        <v>152</v>
      </c>
      <c r="H33" s="97">
        <v>2100000</v>
      </c>
    </row>
    <row r="34" spans="3:8" x14ac:dyDescent="0.25">
      <c r="D34" s="96" t="s">
        <v>153</v>
      </c>
      <c r="E34" s="97">
        <f>E33*0.12</f>
        <v>389640</v>
      </c>
      <c r="G34" s="96" t="s">
        <v>153</v>
      </c>
      <c r="H34" s="97">
        <v>393640</v>
      </c>
    </row>
    <row r="35" spans="3:8" x14ac:dyDescent="0.25">
      <c r="D35" s="96" t="s">
        <v>155</v>
      </c>
      <c r="E35" s="98">
        <f>E33-E34</f>
        <v>2857360</v>
      </c>
      <c r="G35" s="96" t="s">
        <v>155</v>
      </c>
      <c r="H35" s="98">
        <f>H33-H34</f>
        <v>1706360</v>
      </c>
    </row>
    <row r="36" spans="3:8" x14ac:dyDescent="0.25">
      <c r="D36" s="96" t="s">
        <v>156</v>
      </c>
      <c r="E36" s="120">
        <f>1/E32</f>
        <v>0.125</v>
      </c>
      <c r="G36" s="96" t="s">
        <v>156</v>
      </c>
      <c r="H36" s="120">
        <v>0.25</v>
      </c>
    </row>
    <row r="37" spans="3:8" x14ac:dyDescent="0.25">
      <c r="D37" s="96" t="s">
        <v>157</v>
      </c>
      <c r="E37" s="98">
        <f>E36*E35</f>
        <v>357170</v>
      </c>
      <c r="G37" s="96" t="s">
        <v>157</v>
      </c>
      <c r="H37" s="98">
        <f>H36*H35</f>
        <v>426590</v>
      </c>
    </row>
    <row r="39" spans="3:8" ht="43.5" x14ac:dyDescent="0.25">
      <c r="C39" s="90" t="s">
        <v>158</v>
      </c>
      <c r="D39" s="100" t="s">
        <v>159</v>
      </c>
      <c r="E39" s="100" t="s">
        <v>160</v>
      </c>
      <c r="F39" s="100" t="s">
        <v>161</v>
      </c>
      <c r="G39" s="100" t="s">
        <v>162</v>
      </c>
    </row>
    <row r="40" spans="3:8" x14ac:dyDescent="0.25">
      <c r="C40" s="101">
        <v>0</v>
      </c>
      <c r="D40" s="101"/>
      <c r="E40" s="101"/>
      <c r="F40" s="101"/>
      <c r="G40" s="102">
        <f>E33</f>
        <v>3247000</v>
      </c>
    </row>
    <row r="41" spans="3:8" x14ac:dyDescent="0.25">
      <c r="C41" s="101">
        <v>1</v>
      </c>
      <c r="D41" s="103">
        <f>G40</f>
        <v>3247000</v>
      </c>
      <c r="E41" s="122">
        <v>357170</v>
      </c>
      <c r="F41" s="103">
        <f>F40+E41</f>
        <v>357170</v>
      </c>
      <c r="G41" s="103">
        <f>D41-E41</f>
        <v>2889830</v>
      </c>
    </row>
    <row r="42" spans="3:8" x14ac:dyDescent="0.25">
      <c r="C42" s="101">
        <v>2</v>
      </c>
      <c r="D42" s="103">
        <f>G41</f>
        <v>2889830</v>
      </c>
      <c r="E42" s="122">
        <v>357170</v>
      </c>
      <c r="F42" s="103">
        <f>F41+E42</f>
        <v>714340</v>
      </c>
      <c r="G42" s="103">
        <f>D42-E42</f>
        <v>2532660</v>
      </c>
    </row>
    <row r="43" spans="3:8" x14ac:dyDescent="0.25">
      <c r="C43" s="101">
        <v>3</v>
      </c>
      <c r="D43" s="103">
        <f t="shared" ref="D43:D48" si="3">G42</f>
        <v>2532660</v>
      </c>
      <c r="E43" s="122">
        <v>357170</v>
      </c>
      <c r="F43" s="103">
        <f t="shared" ref="F43:F48" si="4">F42+E43</f>
        <v>1071510</v>
      </c>
      <c r="G43" s="103">
        <f t="shared" ref="G43:G48" si="5">D43-E43</f>
        <v>2175490</v>
      </c>
    </row>
    <row r="44" spans="3:8" x14ac:dyDescent="0.25">
      <c r="C44" s="101">
        <v>4</v>
      </c>
      <c r="D44" s="103">
        <f t="shared" si="3"/>
        <v>2175490</v>
      </c>
      <c r="E44" s="122">
        <v>357170</v>
      </c>
      <c r="F44" s="103">
        <f t="shared" si="4"/>
        <v>1428680</v>
      </c>
      <c r="G44" s="103">
        <f t="shared" si="5"/>
        <v>1818320</v>
      </c>
    </row>
    <row r="45" spans="3:8" x14ac:dyDescent="0.25">
      <c r="C45" s="101">
        <v>5</v>
      </c>
      <c r="D45" s="103">
        <v>2100000</v>
      </c>
      <c r="E45" s="103">
        <v>426590</v>
      </c>
      <c r="F45" s="103">
        <f t="shared" si="4"/>
        <v>1855270</v>
      </c>
      <c r="G45" s="103">
        <f t="shared" si="5"/>
        <v>1673410</v>
      </c>
    </row>
    <row r="46" spans="3:8" x14ac:dyDescent="0.25">
      <c r="C46" s="101">
        <v>6</v>
      </c>
      <c r="D46" s="103">
        <f t="shared" si="3"/>
        <v>1673410</v>
      </c>
      <c r="E46" s="103">
        <v>426590</v>
      </c>
      <c r="F46" s="103">
        <f t="shared" si="4"/>
        <v>2281860</v>
      </c>
      <c r="G46" s="103">
        <f t="shared" si="5"/>
        <v>1246820</v>
      </c>
    </row>
    <row r="47" spans="3:8" x14ac:dyDescent="0.25">
      <c r="C47" s="101">
        <v>7</v>
      </c>
      <c r="D47" s="103">
        <f t="shared" si="3"/>
        <v>1246820</v>
      </c>
      <c r="E47" s="103">
        <v>426590</v>
      </c>
      <c r="F47" s="103">
        <f t="shared" si="4"/>
        <v>2708450</v>
      </c>
      <c r="G47" s="103">
        <f t="shared" si="5"/>
        <v>820230</v>
      </c>
    </row>
    <row r="48" spans="3:8" x14ac:dyDescent="0.25">
      <c r="C48" s="101">
        <v>8</v>
      </c>
      <c r="D48" s="103">
        <f t="shared" si="3"/>
        <v>820230</v>
      </c>
      <c r="E48" s="103">
        <v>426590</v>
      </c>
      <c r="F48" s="103">
        <f t="shared" si="4"/>
        <v>3135040</v>
      </c>
      <c r="G48" s="103">
        <f t="shared" si="5"/>
        <v>393640</v>
      </c>
    </row>
  </sheetData>
  <mergeCells count="3">
    <mergeCell ref="D2:E2"/>
    <mergeCell ref="C8:E8"/>
    <mergeCell ref="C30:E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85E0-70B9-48BA-96A1-507412BA93AC}">
  <dimension ref="B2:R31"/>
  <sheetViews>
    <sheetView workbookViewId="0">
      <selection activeCell="D5" activeCellId="1" sqref="N20 D5"/>
    </sheetView>
  </sheetViews>
  <sheetFormatPr defaultColWidth="8.85546875" defaultRowHeight="15" x14ac:dyDescent="0.25"/>
  <cols>
    <col min="2" max="2" width="24.7109375" customWidth="1"/>
    <col min="5" max="5" width="16" customWidth="1"/>
    <col min="6" max="6" width="17.140625" customWidth="1"/>
    <col min="7" max="7" width="12.140625" customWidth="1"/>
    <col min="9" max="9" width="12.85546875" customWidth="1"/>
    <col min="12" max="12" width="25.85546875" customWidth="1"/>
  </cols>
  <sheetData>
    <row r="2" spans="2:13" x14ac:dyDescent="0.25">
      <c r="B2" t="s">
        <v>250</v>
      </c>
      <c r="C2" t="s">
        <v>47</v>
      </c>
      <c r="D2" t="s">
        <v>247</v>
      </c>
      <c r="E2" t="s">
        <v>248</v>
      </c>
      <c r="F2" t="s">
        <v>251</v>
      </c>
      <c r="G2" s="1" t="s">
        <v>254</v>
      </c>
      <c r="H2" t="s">
        <v>255</v>
      </c>
      <c r="L2" t="s">
        <v>258</v>
      </c>
      <c r="M2">
        <v>1500</v>
      </c>
    </row>
    <row r="3" spans="2:13" x14ac:dyDescent="0.25">
      <c r="B3" t="s">
        <v>246</v>
      </c>
      <c r="G3" s="1"/>
      <c r="L3" t="s">
        <v>259</v>
      </c>
      <c r="M3">
        <v>100</v>
      </c>
    </row>
    <row r="4" spans="2:13" x14ac:dyDescent="0.25">
      <c r="B4" t="s">
        <v>249</v>
      </c>
      <c r="C4">
        <v>-1500</v>
      </c>
      <c r="D4">
        <v>1500</v>
      </c>
      <c r="G4" s="1"/>
      <c r="L4" t="s">
        <v>155</v>
      </c>
      <c r="M4">
        <v>1400</v>
      </c>
    </row>
    <row r="5" spans="2:13" x14ac:dyDescent="0.25">
      <c r="B5" t="s">
        <v>252</v>
      </c>
      <c r="C5">
        <v>-520</v>
      </c>
      <c r="D5" t="s">
        <v>41</v>
      </c>
      <c r="E5">
        <v>520</v>
      </c>
      <c r="G5" s="1"/>
      <c r="L5" t="s">
        <v>260</v>
      </c>
      <c r="M5">
        <v>25</v>
      </c>
    </row>
    <row r="6" spans="2:13" x14ac:dyDescent="0.25">
      <c r="B6" t="s">
        <v>253</v>
      </c>
      <c r="C6">
        <v>-15</v>
      </c>
      <c r="G6" s="1"/>
      <c r="H6">
        <v>-15</v>
      </c>
      <c r="L6" t="s">
        <v>261</v>
      </c>
      <c r="M6">
        <f>1/M5</f>
        <v>0.04</v>
      </c>
    </row>
    <row r="7" spans="2:13" x14ac:dyDescent="0.25">
      <c r="B7" t="s">
        <v>257</v>
      </c>
      <c r="F7">
        <v>-56</v>
      </c>
      <c r="G7" s="1">
        <v>-56</v>
      </c>
      <c r="L7" t="s">
        <v>262</v>
      </c>
      <c r="M7">
        <f>M4*M6</f>
        <v>56</v>
      </c>
    </row>
    <row r="8" spans="2:13" x14ac:dyDescent="0.25">
      <c r="B8" t="s">
        <v>256</v>
      </c>
      <c r="F8">
        <v>-26</v>
      </c>
      <c r="G8" s="1">
        <v>-26</v>
      </c>
    </row>
    <row r="9" spans="2:13" x14ac:dyDescent="0.25">
      <c r="B9" t="s">
        <v>9</v>
      </c>
      <c r="C9">
        <f>SUM(C3:C8)</f>
        <v>-2035</v>
      </c>
      <c r="D9">
        <f t="shared" ref="D9:H9" si="0">SUM(D3:D8)</f>
        <v>1500</v>
      </c>
      <c r="E9">
        <f t="shared" si="0"/>
        <v>520</v>
      </c>
      <c r="F9">
        <f t="shared" si="0"/>
        <v>-82</v>
      </c>
      <c r="G9">
        <f t="shared" si="0"/>
        <v>-82</v>
      </c>
      <c r="H9">
        <f t="shared" si="0"/>
        <v>-15</v>
      </c>
    </row>
    <row r="10" spans="2:13" x14ac:dyDescent="0.25">
      <c r="L10" t="s">
        <v>263</v>
      </c>
      <c r="M10">
        <v>520</v>
      </c>
    </row>
    <row r="11" spans="2:13" x14ac:dyDescent="0.25">
      <c r="L11" t="s">
        <v>259</v>
      </c>
      <c r="M11">
        <v>0</v>
      </c>
    </row>
    <row r="12" spans="2:13" x14ac:dyDescent="0.25">
      <c r="B12" t="s">
        <v>264</v>
      </c>
      <c r="C12" t="s">
        <v>47</v>
      </c>
      <c r="D12" t="s">
        <v>247</v>
      </c>
      <c r="E12" t="s">
        <v>248</v>
      </c>
      <c r="F12" t="s">
        <v>251</v>
      </c>
      <c r="G12" s="1" t="s">
        <v>254</v>
      </c>
      <c r="H12" t="s">
        <v>255</v>
      </c>
      <c r="L12" t="s">
        <v>155</v>
      </c>
      <c r="M12">
        <v>520</v>
      </c>
    </row>
    <row r="13" spans="2:13" x14ac:dyDescent="0.25">
      <c r="B13" t="s">
        <v>265</v>
      </c>
      <c r="C13">
        <v>-2035</v>
      </c>
      <c r="D13">
        <v>1500</v>
      </c>
      <c r="E13">
        <v>520</v>
      </c>
      <c r="F13">
        <v>-82</v>
      </c>
      <c r="G13" s="1"/>
      <c r="L13" t="s">
        <v>260</v>
      </c>
      <c r="M13">
        <v>20</v>
      </c>
    </row>
    <row r="14" spans="2:13" x14ac:dyDescent="0.25">
      <c r="B14" t="s">
        <v>257</v>
      </c>
      <c r="F14">
        <v>-56</v>
      </c>
      <c r="G14" s="1">
        <v>-56</v>
      </c>
    </row>
    <row r="15" spans="2:13" x14ac:dyDescent="0.25">
      <c r="B15" t="s">
        <v>256</v>
      </c>
      <c r="F15">
        <v>-26</v>
      </c>
      <c r="G15" s="1">
        <v>-26</v>
      </c>
    </row>
    <row r="16" spans="2:13" x14ac:dyDescent="0.25">
      <c r="B16" t="s">
        <v>9</v>
      </c>
      <c r="C16">
        <f t="shared" ref="C16:H16" si="1">SUM(C13:C15)</f>
        <v>-2035</v>
      </c>
      <c r="D16">
        <f t="shared" si="1"/>
        <v>1500</v>
      </c>
      <c r="E16">
        <f t="shared" si="1"/>
        <v>520</v>
      </c>
      <c r="F16">
        <f t="shared" si="1"/>
        <v>-164</v>
      </c>
      <c r="G16">
        <f t="shared" si="1"/>
        <v>-82</v>
      </c>
      <c r="H16">
        <f t="shared" si="1"/>
        <v>0</v>
      </c>
    </row>
    <row r="17" spans="2:18" x14ac:dyDescent="0.25">
      <c r="L17" t="s">
        <v>258</v>
      </c>
      <c r="M17">
        <v>792</v>
      </c>
    </row>
    <row r="18" spans="2:18" x14ac:dyDescent="0.25">
      <c r="L18" t="s">
        <v>259</v>
      </c>
      <c r="M18">
        <v>100</v>
      </c>
    </row>
    <row r="19" spans="2:18" x14ac:dyDescent="0.25">
      <c r="B19" t="s">
        <v>266</v>
      </c>
      <c r="C19" t="s">
        <v>47</v>
      </c>
      <c r="D19" t="s">
        <v>247</v>
      </c>
      <c r="E19" t="s">
        <v>248</v>
      </c>
      <c r="F19" t="s">
        <v>251</v>
      </c>
      <c r="G19" s="1" t="s">
        <v>254</v>
      </c>
      <c r="H19" t="s">
        <v>255</v>
      </c>
      <c r="L19" t="s">
        <v>155</v>
      </c>
      <c r="M19">
        <f>M17-M18</f>
        <v>692</v>
      </c>
    </row>
    <row r="20" spans="2:18" x14ac:dyDescent="0.25">
      <c r="B20" t="s">
        <v>265</v>
      </c>
      <c r="C20">
        <v>-2035</v>
      </c>
      <c r="D20">
        <v>1500</v>
      </c>
      <c r="E20">
        <v>520</v>
      </c>
      <c r="F20">
        <f>F16</f>
        <v>-164</v>
      </c>
      <c r="G20" s="1"/>
      <c r="L20" t="s">
        <v>260</v>
      </c>
      <c r="M20">
        <v>22</v>
      </c>
    </row>
    <row r="21" spans="2:18" x14ac:dyDescent="0.25">
      <c r="B21" t="s">
        <v>257</v>
      </c>
      <c r="F21">
        <v>-56</v>
      </c>
      <c r="G21" s="1">
        <v>-56</v>
      </c>
      <c r="L21" t="s">
        <v>261</v>
      </c>
      <c r="M21">
        <f>1/M20</f>
        <v>4.5454545454545456E-2</v>
      </c>
    </row>
    <row r="22" spans="2:18" x14ac:dyDescent="0.25">
      <c r="B22" t="s">
        <v>256</v>
      </c>
      <c r="F22">
        <v>-26</v>
      </c>
      <c r="G22" s="1">
        <v>-26</v>
      </c>
      <c r="L22" t="s">
        <v>262</v>
      </c>
      <c r="M22">
        <f>M17*M21</f>
        <v>36</v>
      </c>
    </row>
    <row r="23" spans="2:18" x14ac:dyDescent="0.25">
      <c r="B23" t="s">
        <v>9</v>
      </c>
      <c r="C23">
        <f t="shared" ref="C23:H23" si="2">SUM(C20:C22)</f>
        <v>-2035</v>
      </c>
      <c r="D23">
        <f t="shared" si="2"/>
        <v>1500</v>
      </c>
      <c r="E23">
        <f t="shared" si="2"/>
        <v>520</v>
      </c>
      <c r="F23">
        <f t="shared" si="2"/>
        <v>-246</v>
      </c>
      <c r="G23">
        <f t="shared" si="2"/>
        <v>-82</v>
      </c>
      <c r="H23">
        <f t="shared" si="2"/>
        <v>0</v>
      </c>
    </row>
    <row r="26" spans="2:18" x14ac:dyDescent="0.25">
      <c r="B26" t="s">
        <v>267</v>
      </c>
      <c r="C26" t="s">
        <v>47</v>
      </c>
      <c r="D26" t="s">
        <v>247</v>
      </c>
      <c r="E26" t="s">
        <v>248</v>
      </c>
      <c r="F26" t="s">
        <v>251</v>
      </c>
      <c r="G26" s="1" t="s">
        <v>254</v>
      </c>
      <c r="H26" t="s">
        <v>255</v>
      </c>
      <c r="I26" t="s">
        <v>268</v>
      </c>
    </row>
    <row r="27" spans="2:18" x14ac:dyDescent="0.25">
      <c r="B27" t="s">
        <v>265</v>
      </c>
      <c r="C27">
        <v>-2035</v>
      </c>
      <c r="D27">
        <v>1500</v>
      </c>
      <c r="E27">
        <v>520</v>
      </c>
      <c r="F27">
        <f>F23</f>
        <v>-246</v>
      </c>
      <c r="G27" s="1"/>
    </row>
    <row r="28" spans="2:18" x14ac:dyDescent="0.25">
      <c r="B28" t="s">
        <v>269</v>
      </c>
      <c r="D28">
        <v>792</v>
      </c>
      <c r="G28" s="1"/>
      <c r="I28">
        <v>792</v>
      </c>
      <c r="N28" s="144" t="s">
        <v>307</v>
      </c>
      <c r="O28" s="144"/>
      <c r="Q28" s="144" t="s">
        <v>308</v>
      </c>
      <c r="R28" s="144"/>
    </row>
    <row r="29" spans="2:18" x14ac:dyDescent="0.25">
      <c r="B29" t="s">
        <v>257</v>
      </c>
      <c r="F29">
        <f>-M22</f>
        <v>-36</v>
      </c>
      <c r="G29" s="1">
        <f>-M22</f>
        <v>-36</v>
      </c>
      <c r="N29" s="6">
        <v>792</v>
      </c>
      <c r="O29" s="123"/>
      <c r="Q29" s="6"/>
      <c r="R29" s="123"/>
    </row>
    <row r="30" spans="2:18" x14ac:dyDescent="0.25">
      <c r="B30" t="s">
        <v>256</v>
      </c>
      <c r="F30">
        <v>-26</v>
      </c>
      <c r="G30" s="1">
        <v>-26</v>
      </c>
      <c r="O30" s="1"/>
      <c r="R30" s="1"/>
    </row>
    <row r="31" spans="2:18" x14ac:dyDescent="0.25">
      <c r="B31" t="s">
        <v>9</v>
      </c>
      <c r="C31">
        <f t="shared" ref="C31:H31" si="3">SUM(C27:C30)</f>
        <v>-2035</v>
      </c>
      <c r="D31">
        <f t="shared" si="3"/>
        <v>2292</v>
      </c>
      <c r="E31">
        <f t="shared" si="3"/>
        <v>520</v>
      </c>
      <c r="F31">
        <f t="shared" si="3"/>
        <v>-308</v>
      </c>
      <c r="G31">
        <f t="shared" si="3"/>
        <v>-62</v>
      </c>
      <c r="H31">
        <f t="shared" si="3"/>
        <v>0</v>
      </c>
    </row>
  </sheetData>
  <mergeCells count="2">
    <mergeCell ref="N28:O28"/>
    <mergeCell ref="Q28:R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BE52-E891-459F-B04D-004E51CA5316}">
  <dimension ref="B2:I40"/>
  <sheetViews>
    <sheetView topLeftCell="A6" workbookViewId="0">
      <selection activeCell="G38" sqref="G38"/>
    </sheetView>
  </sheetViews>
  <sheetFormatPr defaultColWidth="8.85546875" defaultRowHeight="15" x14ac:dyDescent="0.25"/>
  <cols>
    <col min="3" max="3" width="28.28515625" customWidth="1"/>
    <col min="4" max="4" width="14.85546875" customWidth="1"/>
    <col min="5" max="5" width="14" customWidth="1"/>
    <col min="7" max="7" width="13.85546875" customWidth="1"/>
  </cols>
  <sheetData>
    <row r="2" spans="2:7" x14ac:dyDescent="0.25">
      <c r="B2" t="s">
        <v>270</v>
      </c>
      <c r="C2" t="s">
        <v>271</v>
      </c>
    </row>
    <row r="4" spans="2:7" x14ac:dyDescent="0.25">
      <c r="B4" t="s">
        <v>272</v>
      </c>
    </row>
    <row r="5" spans="2:7" x14ac:dyDescent="0.25">
      <c r="B5" t="s">
        <v>273</v>
      </c>
      <c r="C5" t="s">
        <v>274</v>
      </c>
    </row>
    <row r="7" spans="2:7" x14ac:dyDescent="0.25">
      <c r="B7" t="s">
        <v>275</v>
      </c>
      <c r="C7" t="s">
        <v>276</v>
      </c>
    </row>
    <row r="9" spans="2:7" x14ac:dyDescent="0.25">
      <c r="C9" t="s">
        <v>277</v>
      </c>
      <c r="D9" s="13">
        <v>150000</v>
      </c>
    </row>
    <row r="10" spans="2:7" x14ac:dyDescent="0.25">
      <c r="C10" t="s">
        <v>278</v>
      </c>
      <c r="D10" s="13">
        <v>111550</v>
      </c>
    </row>
    <row r="11" spans="2:7" x14ac:dyDescent="0.25">
      <c r="C11" t="s">
        <v>279</v>
      </c>
      <c r="D11" s="13">
        <f>D9-D10</f>
        <v>38450</v>
      </c>
    </row>
    <row r="14" spans="2:7" ht="15.75" x14ac:dyDescent="0.25">
      <c r="C14" s="4" t="s">
        <v>280</v>
      </c>
      <c r="D14" s="4" t="s">
        <v>299</v>
      </c>
      <c r="E14" s="4" t="s">
        <v>300</v>
      </c>
      <c r="G14" s="4" t="s">
        <v>305</v>
      </c>
    </row>
    <row r="15" spans="2:7" x14ac:dyDescent="0.25">
      <c r="C15" t="s">
        <v>281</v>
      </c>
      <c r="D15" s="13">
        <v>932750</v>
      </c>
      <c r="E15" s="13">
        <v>882990</v>
      </c>
      <c r="G15" s="13">
        <f>D15-650000+E15</f>
        <v>1165740</v>
      </c>
    </row>
    <row r="16" spans="2:7" x14ac:dyDescent="0.25">
      <c r="C16" t="s">
        <v>282</v>
      </c>
      <c r="D16">
        <v>-735600</v>
      </c>
      <c r="E16" s="13">
        <v>-717795</v>
      </c>
      <c r="G16" s="13">
        <f>D16+E16+600000</f>
        <v>-853395</v>
      </c>
    </row>
    <row r="17" spans="3:7" x14ac:dyDescent="0.25">
      <c r="C17" s="3" t="s">
        <v>283</v>
      </c>
      <c r="D17" s="3">
        <v>197150</v>
      </c>
      <c r="E17" s="116">
        <v>165195</v>
      </c>
      <c r="G17" s="116">
        <f>G15+G16</f>
        <v>312345</v>
      </c>
    </row>
    <row r="18" spans="3:7" x14ac:dyDescent="0.25">
      <c r="C18" t="s">
        <v>284</v>
      </c>
      <c r="D18">
        <v>-120500</v>
      </c>
      <c r="E18" s="13">
        <v>-145450</v>
      </c>
      <c r="G18" s="13">
        <f>E18+D18</f>
        <v>-265950</v>
      </c>
    </row>
    <row r="19" spans="3:7" x14ac:dyDescent="0.25">
      <c r="C19" s="3" t="s">
        <v>285</v>
      </c>
      <c r="D19" s="3">
        <v>76650</v>
      </c>
      <c r="E19" s="116">
        <v>19745</v>
      </c>
      <c r="G19" s="116">
        <f>G17+G18</f>
        <v>46395</v>
      </c>
    </row>
    <row r="20" spans="3:7" x14ac:dyDescent="0.25">
      <c r="C20" t="s">
        <v>286</v>
      </c>
      <c r="D20">
        <v>2240</v>
      </c>
      <c r="E20" s="13">
        <v>1145</v>
      </c>
      <c r="G20" s="13">
        <f>D20+E20</f>
        <v>3385</v>
      </c>
    </row>
    <row r="21" spans="3:7" x14ac:dyDescent="0.25">
      <c r="C21" t="s">
        <v>287</v>
      </c>
      <c r="D21">
        <v>-13760</v>
      </c>
      <c r="E21" s="13">
        <v>-6340</v>
      </c>
      <c r="G21" s="13">
        <f>D21+E21</f>
        <v>-20100</v>
      </c>
    </row>
    <row r="22" spans="3:7" x14ac:dyDescent="0.25">
      <c r="C22" s="3" t="s">
        <v>288</v>
      </c>
      <c r="D22" s="3">
        <v>65130</v>
      </c>
      <c r="E22" s="116">
        <v>14550</v>
      </c>
      <c r="G22" s="116">
        <f>G19+G20+G21</f>
        <v>29680</v>
      </c>
    </row>
    <row r="24" spans="3:7" x14ac:dyDescent="0.25">
      <c r="C24" s="3" t="s">
        <v>289</v>
      </c>
    </row>
    <row r="25" spans="3:7" x14ac:dyDescent="0.25">
      <c r="C25" t="s">
        <v>279</v>
      </c>
      <c r="G25" s="13">
        <f>D11</f>
        <v>38450</v>
      </c>
    </row>
    <row r="26" spans="3:7" ht="30" x14ac:dyDescent="0.25">
      <c r="C26" s="115" t="s">
        <v>290</v>
      </c>
      <c r="D26">
        <v>481290</v>
      </c>
      <c r="E26" s="13">
        <v>173450</v>
      </c>
      <c r="G26" s="13">
        <f>D26+E26</f>
        <v>654740</v>
      </c>
    </row>
    <row r="27" spans="3:7" x14ac:dyDescent="0.25">
      <c r="C27" t="s">
        <v>291</v>
      </c>
      <c r="D27">
        <v>150000</v>
      </c>
      <c r="F27" s="13">
        <v>-150000</v>
      </c>
      <c r="G27" s="13">
        <f>D27-D27</f>
        <v>0</v>
      </c>
    </row>
    <row r="28" spans="3:7" x14ac:dyDescent="0.25">
      <c r="C28" t="s">
        <v>292</v>
      </c>
      <c r="D28" s="121">
        <v>156865</v>
      </c>
      <c r="E28" s="13">
        <v>115725</v>
      </c>
      <c r="F28" s="13">
        <v>-50000</v>
      </c>
      <c r="G28" s="13">
        <f>D28+E28+F28</f>
        <v>222590</v>
      </c>
    </row>
    <row r="29" spans="3:7" x14ac:dyDescent="0.25">
      <c r="C29" t="s">
        <v>293</v>
      </c>
      <c r="D29">
        <v>78876</v>
      </c>
      <c r="E29" s="13">
        <v>55750</v>
      </c>
      <c r="G29" s="13">
        <f>D29+E29</f>
        <v>134626</v>
      </c>
    </row>
    <row r="30" spans="3:7" ht="30" x14ac:dyDescent="0.25">
      <c r="C30" s="115" t="s">
        <v>294</v>
      </c>
      <c r="D30">
        <v>65460</v>
      </c>
      <c r="E30" s="13">
        <v>0</v>
      </c>
      <c r="F30">
        <f>-D30</f>
        <v>-65460</v>
      </c>
      <c r="G30" s="13">
        <f>D30-D30</f>
        <v>0</v>
      </c>
    </row>
    <row r="31" spans="3:7" x14ac:dyDescent="0.25">
      <c r="C31" t="s">
        <v>295</v>
      </c>
      <c r="D31">
        <v>18700</v>
      </c>
      <c r="E31" s="13">
        <v>5200</v>
      </c>
      <c r="G31" s="13">
        <f>D31+E31</f>
        <v>23900</v>
      </c>
    </row>
    <row r="32" spans="3:7" x14ac:dyDescent="0.25">
      <c r="C32" t="s">
        <v>296</v>
      </c>
      <c r="D32">
        <v>5200</v>
      </c>
      <c r="E32" s="13">
        <v>3925</v>
      </c>
      <c r="G32" s="13">
        <f>D32+E32</f>
        <v>9125</v>
      </c>
    </row>
    <row r="33" spans="3:9" x14ac:dyDescent="0.25">
      <c r="C33" s="3" t="s">
        <v>297</v>
      </c>
      <c r="D33" s="3">
        <v>1506391</v>
      </c>
      <c r="E33" s="116">
        <v>354050</v>
      </c>
      <c r="F33" s="3"/>
      <c r="G33" s="116">
        <f>SUM(G25:G32)</f>
        <v>1083431</v>
      </c>
    </row>
    <row r="34" spans="3:9" x14ac:dyDescent="0.25">
      <c r="C34" s="3" t="s">
        <v>298</v>
      </c>
    </row>
    <row r="35" spans="3:9" x14ac:dyDescent="0.25">
      <c r="C35" t="s">
        <v>301</v>
      </c>
      <c r="D35">
        <v>71000</v>
      </c>
      <c r="E35" s="13">
        <v>15000</v>
      </c>
      <c r="F35" s="13">
        <f>-E35</f>
        <v>-15000</v>
      </c>
      <c r="G35" s="13">
        <f>D35+E35+F35</f>
        <v>71000</v>
      </c>
    </row>
    <row r="36" spans="3:9" x14ac:dyDescent="0.25">
      <c r="C36" t="s">
        <v>302</v>
      </c>
      <c r="D36">
        <v>405825</v>
      </c>
      <c r="E36" s="13">
        <v>111100</v>
      </c>
      <c r="F36" s="13">
        <v>146550</v>
      </c>
      <c r="G36" s="13">
        <f>D36+E36-F36</f>
        <v>370375</v>
      </c>
      <c r="I36" s="13">
        <f>G39-G33</f>
        <v>0</v>
      </c>
    </row>
    <row r="37" spans="3:9" x14ac:dyDescent="0.25">
      <c r="C37" t="s">
        <v>303</v>
      </c>
      <c r="D37">
        <f>408216</f>
        <v>408216</v>
      </c>
      <c r="E37" s="13">
        <v>132794</v>
      </c>
      <c r="G37" s="13">
        <f>D37+E37</f>
        <v>541010</v>
      </c>
    </row>
    <row r="38" spans="3:9" x14ac:dyDescent="0.25">
      <c r="C38" t="s">
        <v>205</v>
      </c>
      <c r="D38">
        <v>71350</v>
      </c>
      <c r="E38" s="13">
        <v>95156</v>
      </c>
      <c r="F38" s="13">
        <f>-D30</f>
        <v>-65460</v>
      </c>
      <c r="G38" s="13">
        <f>E38+D38+F38</f>
        <v>101046</v>
      </c>
    </row>
    <row r="39" spans="3:9" x14ac:dyDescent="0.25">
      <c r="C39" s="3" t="s">
        <v>304</v>
      </c>
      <c r="D39" s="116">
        <f>SUM(D35:D38)</f>
        <v>956391</v>
      </c>
      <c r="E39" s="116">
        <f>SUM(E35:E38)</f>
        <v>354050</v>
      </c>
      <c r="G39" s="116">
        <f>SUM(G35:G38)</f>
        <v>1083431</v>
      </c>
    </row>
    <row r="40" spans="3:9" x14ac:dyDescent="0.25">
      <c r="D4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Balance sheet</vt:lpstr>
      <vt:lpstr>56-A</vt:lpstr>
      <vt:lpstr>Journal</vt:lpstr>
      <vt:lpstr>standard bogførings skema</vt:lpstr>
      <vt:lpstr>Ark5</vt:lpstr>
      <vt:lpstr>schematic balance sheet</vt:lpstr>
      <vt:lpstr>procentage of compleation</vt:lpstr>
      <vt:lpstr>baddebtors</vt:lpstr>
      <vt:lpstr>lagerværdi</vt:lpstr>
      <vt:lpstr>produktionsomkostninger</vt:lpstr>
      <vt:lpstr>cashflow statement</vt:lpstr>
      <vt:lpstr>afskrivninger</vt:lpstr>
      <vt:lpstr>Ark10</vt:lpstr>
      <vt:lpstr>Ark11</vt:lpstr>
      <vt:lpstr>consolideret regnskab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Bang</dc:creator>
  <cp:lastModifiedBy>asger konradi</cp:lastModifiedBy>
  <dcterms:created xsi:type="dcterms:W3CDTF">2024-01-11T13:33:16Z</dcterms:created>
  <dcterms:modified xsi:type="dcterms:W3CDTF">2024-01-18T11:18:53Z</dcterms:modified>
</cp:coreProperties>
</file>