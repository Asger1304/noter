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2e27841fd4b7ba/Skrivebord/principper/regnskabsslides/"/>
    </mc:Choice>
  </mc:AlternateContent>
  <xr:revisionPtr revIDLastSave="0" documentId="8_{949DF95D-A5CB-40BA-B95C-BD0E68EB788C}" xr6:coauthVersionLast="47" xr6:coauthVersionMax="47" xr10:uidLastSave="{00000000-0000-0000-0000-000000000000}"/>
  <bookViews>
    <workbookView xWindow="-120" yWindow="-120" windowWidth="29040" windowHeight="15720" xr2:uid="{91154AB7-6DB4-4657-8F37-458BA373838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7" i="1" l="1"/>
  <c r="P56" i="1"/>
  <c r="P55" i="1"/>
  <c r="P50" i="1"/>
  <c r="P47" i="1"/>
  <c r="M55" i="1"/>
  <c r="M56" i="1" s="1"/>
  <c r="M58" i="1" s="1"/>
  <c r="M54" i="1"/>
  <c r="M53" i="1"/>
  <c r="M52" i="1"/>
  <c r="M47" i="1"/>
  <c r="M49" i="1"/>
  <c r="M48" i="1"/>
  <c r="M27" i="1"/>
  <c r="P39" i="1" s="1"/>
  <c r="P40" i="1" s="1"/>
  <c r="M20" i="1"/>
  <c r="M18" i="1"/>
  <c r="M16" i="1"/>
  <c r="M14" i="1"/>
  <c r="M12" i="1"/>
  <c r="M11" i="1"/>
  <c r="M10" i="1"/>
  <c r="M13" i="1" s="1"/>
  <c r="M15" i="1" s="1"/>
  <c r="M17" i="1" s="1"/>
  <c r="M19" i="1" s="1"/>
  <c r="M21" i="1" s="1"/>
  <c r="F36" i="1"/>
  <c r="E36" i="1"/>
  <c r="M29" i="1" l="1"/>
  <c r="M28" i="1"/>
  <c r="O39" i="1" s="1"/>
  <c r="O40" i="1" s="1"/>
  <c r="P49" i="1" s="1"/>
  <c r="P51" i="1" s="1"/>
  <c r="P59" i="1" s="1"/>
  <c r="J36" i="1"/>
  <c r="H36" i="1"/>
  <c r="I36" i="1"/>
  <c r="G36" i="1" l="1"/>
</calcChain>
</file>

<file path=xl/sharedStrings.xml><?xml version="1.0" encoding="utf-8"?>
<sst xmlns="http://schemas.openxmlformats.org/spreadsheetml/2006/main" count="91" uniqueCount="85">
  <si>
    <t>Year</t>
  </si>
  <si>
    <t>Income statement</t>
  </si>
  <si>
    <t>Balance sheet</t>
  </si>
  <si>
    <t>No</t>
  </si>
  <si>
    <t>Account</t>
  </si>
  <si>
    <t>Debit</t>
  </si>
  <si>
    <t>Credit</t>
  </si>
  <si>
    <r>
      <rPr>
        <sz val="10.5"/>
        <rFont val="Calibri"/>
        <family val="2"/>
      </rPr>
      <t>Varesalg/Sales</t>
    </r>
  </si>
  <si>
    <t>Vareforbrug/Cost of goods sold</t>
  </si>
  <si>
    <r>
      <rPr>
        <sz val="10.5"/>
        <rFont val="Calibri"/>
        <family val="2"/>
      </rPr>
      <t>Salgsfremmende omk./Advertising expenses</t>
    </r>
  </si>
  <si>
    <t xml:space="preserve">Income Statement by nature </t>
  </si>
  <si>
    <r>
      <rPr>
        <sz val="10.5"/>
        <rFont val="Calibri"/>
        <family val="2"/>
      </rPr>
      <t>Lokaleomkostninger/Premises expenses</t>
    </r>
  </si>
  <si>
    <t xml:space="preserve">Net turnover </t>
  </si>
  <si>
    <r>
      <rPr>
        <sz val="10.5"/>
        <rFont val="Calibri"/>
        <family val="2"/>
      </rPr>
      <t>Bilers driftsomkostninger/Running expenses of car</t>
    </r>
  </si>
  <si>
    <t>COGS</t>
  </si>
  <si>
    <r>
      <rPr>
        <sz val="10.5"/>
        <rFont val="Calibri"/>
        <family val="2"/>
      </rPr>
      <t>Øvrige omk./Miscellaneous expenses</t>
    </r>
  </si>
  <si>
    <t>Other external expense</t>
  </si>
  <si>
    <r>
      <rPr>
        <sz val="10.5"/>
        <rFont val="Calibri"/>
        <family val="2"/>
      </rPr>
      <t>Lønomkostninger/Wages</t>
    </r>
  </si>
  <si>
    <t xml:space="preserve">Gross profit </t>
  </si>
  <si>
    <r>
      <rPr>
        <sz val="10.5"/>
        <rFont val="Calibri"/>
        <family val="2"/>
      </rPr>
      <t>ATP/Social security costs</t>
    </r>
  </si>
  <si>
    <t>Wages</t>
  </si>
  <si>
    <r>
      <rPr>
        <sz val="10.5"/>
        <rFont val="Calibri"/>
        <family val="2"/>
      </rPr>
      <t>Afskrivning biler/Depreciation cars</t>
    </r>
  </si>
  <si>
    <t>Profit before depreciation</t>
  </si>
  <si>
    <r>
      <rPr>
        <sz val="10.5"/>
        <rFont val="Calibri"/>
        <family val="2"/>
      </rPr>
      <t>Afskrivning inventar/Depreciation equipment</t>
    </r>
  </si>
  <si>
    <t>Depreciation</t>
  </si>
  <si>
    <r>
      <rPr>
        <sz val="10.5"/>
        <rFont val="Calibri"/>
        <family val="2"/>
      </rPr>
      <t>Renteindtægter/Interest revenue</t>
    </r>
  </si>
  <si>
    <t xml:space="preserve">Profit before financial items </t>
  </si>
  <si>
    <r>
      <rPr>
        <sz val="10.5"/>
        <rFont val="Calibri"/>
        <family val="2"/>
      </rPr>
      <t>Renteomkostninger/Interest expenses</t>
    </r>
  </si>
  <si>
    <t>Interest, net</t>
  </si>
  <si>
    <r>
      <rPr>
        <sz val="10.5"/>
        <rFont val="Calibri"/>
        <family val="2"/>
      </rPr>
      <t>Skat af årets resultat/Corporation tax</t>
    </r>
  </si>
  <si>
    <t>Profit before tax</t>
  </si>
  <si>
    <r>
      <rPr>
        <sz val="10.5"/>
        <rFont val="Calibri"/>
        <family val="2"/>
      </rPr>
      <t>Biler/Cars</t>
    </r>
  </si>
  <si>
    <t xml:space="preserve">Corporation tax </t>
  </si>
  <si>
    <r>
      <rPr>
        <sz val="10.5"/>
        <rFont val="Calibri"/>
        <family val="2"/>
      </rPr>
      <t>Akk. afs. Biler/Acc. depreciation cars</t>
    </r>
  </si>
  <si>
    <t xml:space="preserve">Result for the year </t>
  </si>
  <si>
    <r>
      <rPr>
        <sz val="10.5"/>
        <rFont val="Calibri"/>
        <family val="2"/>
      </rPr>
      <t>Inventar/Equipment</t>
    </r>
  </si>
  <si>
    <r>
      <rPr>
        <sz val="10.5"/>
        <rFont val="Calibri"/>
        <family val="2"/>
      </rPr>
      <t>Akk. afs. Inventar/Acc. depreciation equipment</t>
    </r>
  </si>
  <si>
    <t>The result for the year is proposed to be distributed as follows:</t>
  </si>
  <si>
    <r>
      <rPr>
        <sz val="10.5"/>
        <rFont val="Calibri"/>
        <family val="2"/>
      </rPr>
      <t>Varelager/Goods for sale</t>
    </r>
  </si>
  <si>
    <r>
      <rPr>
        <sz val="10.5"/>
        <rFont val="Calibri"/>
        <family val="2"/>
      </rPr>
      <t>Varedebitorer/Trade debtors</t>
    </r>
  </si>
  <si>
    <t>Dividends, 4 per share</t>
  </si>
  <si>
    <r>
      <rPr>
        <sz val="10.5"/>
        <rFont val="Calibri"/>
        <family val="2"/>
      </rPr>
      <t>Periodeafgrænsningsposter/Prepayment</t>
    </r>
  </si>
  <si>
    <r>
      <rPr>
        <sz val="10.5"/>
        <rFont val="Calibri"/>
        <family val="2"/>
      </rPr>
      <t>Kasse/Cash</t>
    </r>
  </si>
  <si>
    <r>
      <rPr>
        <sz val="10.5"/>
        <rFont val="Calibri"/>
        <family val="2"/>
      </rPr>
      <t>Bank, folio/Bank deposit</t>
    </r>
  </si>
  <si>
    <t>Retained earnings</t>
  </si>
  <si>
    <r>
      <rPr>
        <sz val="10.5"/>
        <rFont val="Calibri"/>
        <family val="2"/>
      </rPr>
      <t>Selskabskapital/Company capital</t>
    </r>
  </si>
  <si>
    <r>
      <rPr>
        <sz val="10.5"/>
        <rFont val="Calibri"/>
        <family val="2"/>
      </rPr>
      <t>Overført resultat/Retained earnings</t>
    </r>
  </si>
  <si>
    <r>
      <rPr>
        <sz val="10.5"/>
        <rFont val="Calibri"/>
        <family val="2"/>
      </rPr>
      <t>Prioritetslån/Loan secured on the property</t>
    </r>
  </si>
  <si>
    <r>
      <rPr>
        <sz val="10.5"/>
        <rFont val="Calibri"/>
        <family val="2"/>
      </rPr>
      <t>Kassekredit/Bank overdraft</t>
    </r>
  </si>
  <si>
    <t xml:space="preserve">Cars </t>
  </si>
  <si>
    <r>
      <rPr>
        <sz val="10.5"/>
        <rFont val="Calibri"/>
        <family val="2"/>
      </rPr>
      <t>Varekreditorer/Trade creditors</t>
    </r>
  </si>
  <si>
    <r>
      <rPr>
        <sz val="10.5"/>
        <rFont val="Calibri"/>
        <family val="2"/>
      </rPr>
      <t>Andre kreditorer/Other creditors</t>
    </r>
  </si>
  <si>
    <t xml:space="preserve">Statement of Changes in Equity </t>
  </si>
  <si>
    <t>Company capital</t>
  </si>
  <si>
    <t xml:space="preserve">Other reserves </t>
  </si>
  <si>
    <t xml:space="preserve">Retained earnings </t>
  </si>
  <si>
    <t>Proposed dividends</t>
  </si>
  <si>
    <t xml:space="preserve">Equity at beginning </t>
  </si>
  <si>
    <t>Transactions of the year</t>
  </si>
  <si>
    <t xml:space="preserve">Equity at the end of the period </t>
  </si>
  <si>
    <t>Balance Sheet (Balance)</t>
  </si>
  <si>
    <t>ASSETS</t>
  </si>
  <si>
    <t xml:space="preserve">LIABILITIES AND EQUITY </t>
  </si>
  <si>
    <t xml:space="preserve">Fixed assets </t>
  </si>
  <si>
    <t xml:space="preserve">Equity </t>
  </si>
  <si>
    <t xml:space="preserve">Equipment </t>
  </si>
  <si>
    <t xml:space="preserve">Contributed capital </t>
  </si>
  <si>
    <t xml:space="preserve">Current assets </t>
  </si>
  <si>
    <t xml:space="preserve">Dividends for the year </t>
  </si>
  <si>
    <t>Inventories</t>
  </si>
  <si>
    <t xml:space="preserve">Total equity </t>
  </si>
  <si>
    <t>Receivables</t>
  </si>
  <si>
    <t>Pre payments</t>
  </si>
  <si>
    <t xml:space="preserve">Liabilities </t>
  </si>
  <si>
    <t>Cash</t>
  </si>
  <si>
    <t>Total current assets</t>
  </si>
  <si>
    <t xml:space="preserve">Longterm liabilities </t>
  </si>
  <si>
    <t xml:space="preserve">Short term liabilities </t>
  </si>
  <si>
    <t xml:space="preserve">TOTAL ASSETS </t>
  </si>
  <si>
    <t xml:space="preserve">Total liabilities </t>
  </si>
  <si>
    <t xml:space="preserve">TOTAL LIABILITIES AND EQUITY </t>
  </si>
  <si>
    <t>Adjusted Trial balance</t>
  </si>
  <si>
    <t>Girokonto/Giro account</t>
  </si>
  <si>
    <t>Total non-current assets</t>
  </si>
  <si>
    <t>Overskudsfordeling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</si>
</sst>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General_)"/>
    <numFmt numFmtId="165" formatCode="_ * #,##0_ ;_ * \-#,##0_ ;_ * &quot;-&quot;??_ ;_ @_ "/>
    <numFmt numFmtId="166" formatCode="_ * #,##0.00_ ;_ * \-#,##0.00_ ;_ * &quot;-&quot;??_ ;_ @_ "/>
    <numFmt numFmtId="167" formatCode="#,##0_ ;\-#,##0\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.5"/>
      <color rgb="FF0000D3"/>
      <name val="Calibri"/>
      <family val="2"/>
    </font>
    <font>
      <sz val="10.5"/>
      <name val="Calibri"/>
      <family val="2"/>
    </font>
    <font>
      <sz val="10.5"/>
      <name val="Calibri"/>
      <family val="2"/>
    </font>
    <font>
      <sz val="10.5"/>
      <color rgb="FF000000"/>
      <name val="Calibri"/>
      <family val="2"/>
    </font>
    <font>
      <sz val="12"/>
      <name val="Arial MT"/>
    </font>
    <font>
      <b/>
      <sz val="14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8" fillId="0" borderId="0"/>
    <xf numFmtId="166" fontId="11" fillId="0" borderId="0" applyFont="0" applyFill="0" applyBorder="0" applyAlignment="0" applyProtection="0"/>
  </cellStyleXfs>
  <cellXfs count="73">
    <xf numFmtId="0" fontId="0" fillId="0" borderId="0" xfId="0"/>
    <xf numFmtId="3" fontId="0" fillId="0" borderId="0" xfId="0" applyNumberFormat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right"/>
    </xf>
    <xf numFmtId="1" fontId="4" fillId="0" borderId="9" xfId="2" applyNumberFormat="1" applyFont="1" applyBorder="1" applyAlignment="1">
      <alignment horizontal="center" vertical="top" shrinkToFit="1"/>
    </xf>
    <xf numFmtId="0" fontId="5" fillId="0" borderId="10" xfId="2" applyFont="1" applyBorder="1" applyAlignment="1">
      <alignment horizontal="left" vertical="top" wrapText="1"/>
    </xf>
    <xf numFmtId="0" fontId="3" fillId="2" borderId="10" xfId="2" applyFill="1" applyBorder="1" applyAlignment="1">
      <alignment horizontal="left" wrapText="1"/>
    </xf>
    <xf numFmtId="3" fontId="7" fillId="2" borderId="10" xfId="2" applyNumberFormat="1" applyFont="1" applyFill="1" applyBorder="1" applyAlignment="1">
      <alignment horizontal="right" vertical="top" shrinkToFit="1"/>
    </xf>
    <xf numFmtId="3" fontId="0" fillId="0" borderId="11" xfId="0" applyNumberFormat="1" applyBorder="1"/>
    <xf numFmtId="3" fontId="0" fillId="0" borderId="12" xfId="0" applyNumberFormat="1" applyBorder="1"/>
    <xf numFmtId="0" fontId="0" fillId="0" borderId="12" xfId="0" applyBorder="1"/>
    <xf numFmtId="0" fontId="6" fillId="0" borderId="10" xfId="2" applyFont="1" applyBorder="1" applyAlignment="1">
      <alignment horizontal="left" vertical="top" wrapText="1"/>
    </xf>
    <xf numFmtId="0" fontId="0" fillId="0" borderId="13" xfId="0" applyBorder="1"/>
    <xf numFmtId="1" fontId="7" fillId="2" borderId="10" xfId="2" applyNumberFormat="1" applyFont="1" applyFill="1" applyBorder="1" applyAlignment="1">
      <alignment horizontal="right" vertical="top" shrinkToFit="1"/>
    </xf>
    <xf numFmtId="0" fontId="2" fillId="0" borderId="0" xfId="0" applyFont="1"/>
    <xf numFmtId="3" fontId="2" fillId="0" borderId="14" xfId="0" applyNumberFormat="1" applyFont="1" applyBorder="1"/>
    <xf numFmtId="0" fontId="5" fillId="2" borderId="10" xfId="2" applyFont="1" applyFill="1" applyBorder="1" applyAlignment="1">
      <alignment horizontal="right" vertical="top" wrapText="1"/>
    </xf>
    <xf numFmtId="164" fontId="10" fillId="0" borderId="0" xfId="3" applyFont="1" applyAlignment="1">
      <alignment horizontal="left"/>
    </xf>
    <xf numFmtId="0" fontId="2" fillId="0" borderId="15" xfId="0" applyFont="1" applyBorder="1"/>
    <xf numFmtId="165" fontId="2" fillId="0" borderId="15" xfId="1" applyNumberFormat="1" applyFont="1" applyBorder="1"/>
    <xf numFmtId="164" fontId="10" fillId="0" borderId="0" xfId="3" applyFont="1"/>
    <xf numFmtId="167" fontId="10" fillId="0" borderId="0" xfId="4" applyNumberFormat="1" applyFont="1" applyAlignment="1">
      <alignment horizontal="right"/>
    </xf>
    <xf numFmtId="164" fontId="12" fillId="0" borderId="0" xfId="3" applyFont="1"/>
    <xf numFmtId="0" fontId="0" fillId="0" borderId="0" xfId="0" applyAlignment="1">
      <alignment wrapText="1"/>
    </xf>
    <xf numFmtId="0" fontId="3" fillId="2" borderId="19" xfId="2" applyFill="1" applyBorder="1" applyAlignment="1">
      <alignment vertical="top" wrapText="1"/>
    </xf>
    <xf numFmtId="3" fontId="0" fillId="0" borderId="6" xfId="0" applyNumberFormat="1" applyBorder="1"/>
    <xf numFmtId="3" fontId="0" fillId="0" borderId="8" xfId="0" applyNumberFormat="1" applyBorder="1"/>
    <xf numFmtId="0" fontId="0" fillId="0" borderId="1" xfId="0" applyBorder="1"/>
    <xf numFmtId="3" fontId="0" fillId="0" borderId="5" xfId="0" applyNumberFormat="1" applyBorder="1"/>
    <xf numFmtId="3" fontId="0" fillId="0" borderId="20" xfId="0" applyNumberFormat="1" applyBorder="1"/>
    <xf numFmtId="3" fontId="0" fillId="0" borderId="15" xfId="0" applyNumberFormat="1" applyBorder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" fontId="0" fillId="0" borderId="0" xfId="0" applyNumberFormat="1"/>
    <xf numFmtId="1" fontId="2" fillId="0" borderId="21" xfId="0" applyNumberFormat="1" applyFont="1" applyBorder="1"/>
    <xf numFmtId="3" fontId="2" fillId="0" borderId="21" xfId="0" applyNumberFormat="1" applyFont="1" applyBorder="1"/>
    <xf numFmtId="1" fontId="2" fillId="0" borderId="15" xfId="0" applyNumberFormat="1" applyFont="1" applyBorder="1"/>
    <xf numFmtId="3" fontId="2" fillId="0" borderId="15" xfId="0" applyNumberFormat="1" applyFont="1" applyBorder="1"/>
    <xf numFmtId="3" fontId="0" fillId="0" borderId="22" xfId="0" applyNumberFormat="1" applyBorder="1"/>
    <xf numFmtId="3" fontId="0" fillId="0" borderId="23" xfId="0" applyNumberFormat="1" applyBorder="1"/>
    <xf numFmtId="3" fontId="0" fillId="0" borderId="24" xfId="0" applyNumberFormat="1" applyBorder="1"/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1" fontId="7" fillId="2" borderId="18" xfId="2" applyNumberFormat="1" applyFont="1" applyFill="1" applyBorder="1" applyAlignment="1">
      <alignment horizontal="right" vertical="top" shrinkToFit="1"/>
    </xf>
    <xf numFmtId="0" fontId="3" fillId="2" borderId="18" xfId="2" applyFill="1" applyBorder="1" applyAlignment="1">
      <alignment horizontal="left" wrapText="1"/>
    </xf>
    <xf numFmtId="3" fontId="7" fillId="2" borderId="18" xfId="2" applyNumberFormat="1" applyFont="1" applyFill="1" applyBorder="1" applyAlignment="1">
      <alignment horizontal="right" vertical="top" shrinkToFit="1"/>
    </xf>
    <xf numFmtId="1" fontId="7" fillId="2" borderId="18" xfId="2" applyNumberFormat="1" applyFont="1" applyFill="1" applyBorder="1" applyAlignment="1">
      <alignment horizontal="left" vertical="top" shrinkToFit="1"/>
    </xf>
    <xf numFmtId="0" fontId="3" fillId="2" borderId="27" xfId="2" applyFill="1" applyBorder="1" applyAlignment="1">
      <alignment vertical="top" wrapText="1"/>
    </xf>
    <xf numFmtId="3" fontId="0" fillId="0" borderId="28" xfId="0" applyNumberFormat="1" applyBorder="1"/>
    <xf numFmtId="3" fontId="0" fillId="0" borderId="29" xfId="0" applyNumberFormat="1" applyBorder="1"/>
    <xf numFmtId="0" fontId="0" fillId="0" borderId="30" xfId="0" applyBorder="1"/>
    <xf numFmtId="0" fontId="0" fillId="0" borderId="7" xfId="0" applyBorder="1" applyAlignment="1">
      <alignment horizontal="right"/>
    </xf>
    <xf numFmtId="164" fontId="13" fillId="0" borderId="31" xfId="3" applyFont="1" applyBorder="1" applyAlignment="1">
      <alignment vertical="center"/>
    </xf>
    <xf numFmtId="164" fontId="10" fillId="0" borderId="32" xfId="3" applyFont="1" applyBorder="1"/>
    <xf numFmtId="167" fontId="10" fillId="0" borderId="28" xfId="4" applyNumberFormat="1" applyFont="1" applyBorder="1" applyAlignment="1">
      <alignment vertical="center"/>
    </xf>
    <xf numFmtId="1" fontId="0" fillId="0" borderId="28" xfId="0" applyNumberFormat="1" applyBorder="1"/>
    <xf numFmtId="164" fontId="10" fillId="0" borderId="33" xfId="3" applyFont="1" applyBorder="1"/>
    <xf numFmtId="167" fontId="10" fillId="0" borderId="34" xfId="4" applyNumberFormat="1" applyFont="1" applyBorder="1" applyAlignment="1">
      <alignment vertical="center"/>
    </xf>
    <xf numFmtId="164" fontId="13" fillId="0" borderId="35" xfId="3" applyFont="1" applyBorder="1"/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9" fillId="3" borderId="0" xfId="3" applyFont="1" applyFill="1" applyAlignment="1">
      <alignment horizontal="center" vertical="center"/>
    </xf>
    <xf numFmtId="164" fontId="14" fillId="3" borderId="0" xfId="3" applyFont="1" applyFill="1" applyAlignment="1">
      <alignment horizontal="center" vertical="center"/>
    </xf>
  </cellXfs>
  <cellStyles count="5">
    <cellStyle name="Comma 2" xfId="4" xr:uid="{D0160C28-49A9-4EAC-B12E-559FF8B1E64B}"/>
    <cellStyle name="Komma" xfId="1" builtinId="3"/>
    <cellStyle name="Normal" xfId="0" builtinId="0"/>
    <cellStyle name="Normal 2" xfId="2" xr:uid="{5BF0BBBF-5B00-46F5-B7A7-B43E68790179}"/>
    <cellStyle name="Normal 3" xfId="3" xr:uid="{2768044C-764A-4DDD-963F-606B3424F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5B6F-FA20-4898-81FF-D5D24F063B30}">
  <dimension ref="C4:R60"/>
  <sheetViews>
    <sheetView tabSelected="1" topLeftCell="C9" zoomScaleNormal="100" workbookViewId="0">
      <selection activeCell="O11" sqref="O11"/>
    </sheetView>
  </sheetViews>
  <sheetFormatPr defaultColWidth="8.85546875" defaultRowHeight="15"/>
  <cols>
    <col min="4" max="4" width="42.140625" bestFit="1" customWidth="1"/>
    <col min="6" max="6" width="11.7109375" customWidth="1"/>
    <col min="12" max="12" width="58" bestFit="1" customWidth="1"/>
    <col min="13" max="13" width="14" customWidth="1"/>
    <col min="14" max="14" width="13.140625" customWidth="1"/>
    <col min="15" max="15" width="28.85546875" bestFit="1" customWidth="1"/>
    <col min="16" max="16" width="22.42578125" customWidth="1"/>
  </cols>
  <sheetData>
    <row r="4" spans="3:13" ht="15.75" thickBot="1"/>
    <row r="5" spans="3:13" ht="15.75" thickBot="1">
      <c r="C5" s="2" t="s">
        <v>0</v>
      </c>
      <c r="D5" s="3"/>
      <c r="E5" s="65" t="s">
        <v>81</v>
      </c>
      <c r="F5" s="66"/>
      <c r="G5" s="67" t="s">
        <v>1</v>
      </c>
      <c r="H5" s="68"/>
      <c r="I5" s="69" t="s">
        <v>2</v>
      </c>
      <c r="J5" s="70"/>
    </row>
    <row r="6" spans="3:13" ht="15.75" thickBot="1">
      <c r="C6" s="4" t="s">
        <v>3</v>
      </c>
      <c r="D6" s="5" t="s">
        <v>4</v>
      </c>
      <c r="E6" s="4" t="s">
        <v>5</v>
      </c>
      <c r="F6" s="56" t="s">
        <v>6</v>
      </c>
      <c r="G6" s="46" t="s">
        <v>5</v>
      </c>
      <c r="H6" s="47" t="s">
        <v>6</v>
      </c>
      <c r="I6" s="4" t="s">
        <v>5</v>
      </c>
      <c r="J6" s="6" t="s">
        <v>6</v>
      </c>
    </row>
    <row r="7" spans="3:13">
      <c r="C7" s="7">
        <v>1100</v>
      </c>
      <c r="D7" s="8" t="s">
        <v>7</v>
      </c>
      <c r="E7" s="9"/>
      <c r="F7" s="50">
        <v>10250</v>
      </c>
      <c r="G7" s="43"/>
      <c r="H7" s="12"/>
      <c r="I7" s="43"/>
      <c r="J7" s="13"/>
    </row>
    <row r="8" spans="3:13">
      <c r="C8" s="7">
        <v>2100</v>
      </c>
      <c r="D8" s="14" t="s">
        <v>8</v>
      </c>
      <c r="E8" s="10">
        <v>4540</v>
      </c>
      <c r="F8" s="49"/>
      <c r="G8" s="43"/>
      <c r="H8" s="12"/>
      <c r="I8" s="55"/>
      <c r="J8" s="15"/>
    </row>
    <row r="9" spans="3:13" ht="18.75">
      <c r="C9" s="7">
        <v>3100</v>
      </c>
      <c r="D9" s="8" t="s">
        <v>9</v>
      </c>
      <c r="E9" s="16">
        <v>590</v>
      </c>
      <c r="F9" s="49"/>
      <c r="G9" s="43"/>
      <c r="H9" s="12"/>
      <c r="I9" s="55"/>
      <c r="J9" s="15"/>
      <c r="L9" s="71" t="s">
        <v>10</v>
      </c>
      <c r="M9" s="71"/>
    </row>
    <row r="10" spans="3:13">
      <c r="C10" s="7">
        <v>3200</v>
      </c>
      <c r="D10" s="8" t="s">
        <v>11</v>
      </c>
      <c r="E10" s="16">
        <v>455</v>
      </c>
      <c r="F10" s="49"/>
      <c r="G10" s="43"/>
      <c r="H10" s="12"/>
      <c r="I10" s="55"/>
      <c r="J10" s="15"/>
      <c r="L10" t="s">
        <v>12</v>
      </c>
      <c r="M10" s="1">
        <f>F7</f>
        <v>10250</v>
      </c>
    </row>
    <row r="11" spans="3:13">
      <c r="C11" s="7">
        <v>3400</v>
      </c>
      <c r="D11" s="8" t="s">
        <v>13</v>
      </c>
      <c r="E11" s="16">
        <v>85</v>
      </c>
      <c r="F11" s="49"/>
      <c r="G11" s="43"/>
      <c r="H11" s="12"/>
      <c r="I11" s="55"/>
      <c r="J11" s="15"/>
      <c r="L11" t="s">
        <v>14</v>
      </c>
      <c r="M11" s="1">
        <f>E8</f>
        <v>4540</v>
      </c>
    </row>
    <row r="12" spans="3:13">
      <c r="C12" s="7">
        <v>3900</v>
      </c>
      <c r="D12" s="8" t="s">
        <v>15</v>
      </c>
      <c r="E12" s="16">
        <v>575</v>
      </c>
      <c r="F12" s="49"/>
      <c r="G12" s="43"/>
      <c r="H12" s="12"/>
      <c r="I12" s="55"/>
      <c r="J12" s="15"/>
      <c r="L12" s="17" t="s">
        <v>16</v>
      </c>
      <c r="M12" s="18">
        <f>SUM(E9:E12)</f>
        <v>1705</v>
      </c>
    </row>
    <row r="13" spans="3:13">
      <c r="C13" s="7">
        <v>4110</v>
      </c>
      <c r="D13" s="8" t="s">
        <v>17</v>
      </c>
      <c r="E13" s="10">
        <v>1950</v>
      </c>
      <c r="F13" s="49"/>
      <c r="G13" s="43"/>
      <c r="H13" s="12"/>
      <c r="I13" s="55"/>
      <c r="J13" s="15"/>
      <c r="L13" s="17" t="s">
        <v>18</v>
      </c>
      <c r="M13" s="18">
        <f>M10-SUM(M11:M12)</f>
        <v>4005</v>
      </c>
    </row>
    <row r="14" spans="3:13">
      <c r="C14" s="7">
        <v>4200</v>
      </c>
      <c r="D14" s="8" t="s">
        <v>19</v>
      </c>
      <c r="E14" s="16">
        <v>20</v>
      </c>
      <c r="F14" s="49"/>
      <c r="G14" s="43"/>
      <c r="H14" s="12"/>
      <c r="I14" s="55"/>
      <c r="J14" s="15"/>
      <c r="L14" t="s">
        <v>20</v>
      </c>
      <c r="M14" s="1">
        <f>E13</f>
        <v>1950</v>
      </c>
    </row>
    <row r="15" spans="3:13">
      <c r="C15" s="7">
        <v>5300</v>
      </c>
      <c r="D15" s="8" t="s">
        <v>21</v>
      </c>
      <c r="E15" s="19"/>
      <c r="F15" s="49"/>
      <c r="G15" s="43"/>
      <c r="H15" s="12"/>
      <c r="I15" s="55"/>
      <c r="J15" s="15"/>
      <c r="L15" t="s">
        <v>22</v>
      </c>
      <c r="M15" s="1">
        <f>M13-M14</f>
        <v>2055</v>
      </c>
    </row>
    <row r="16" spans="3:13">
      <c r="C16" s="7">
        <v>5400</v>
      </c>
      <c r="D16" s="8" t="s">
        <v>23</v>
      </c>
      <c r="E16" s="19"/>
      <c r="F16" s="49"/>
      <c r="G16" s="43"/>
      <c r="H16" s="12"/>
      <c r="I16" s="55"/>
      <c r="J16" s="15"/>
      <c r="L16" t="s">
        <v>24</v>
      </c>
      <c r="M16" s="1">
        <f>E15+E16</f>
        <v>0</v>
      </c>
    </row>
    <row r="17" spans="3:18">
      <c r="C17" s="7">
        <v>8110</v>
      </c>
      <c r="D17" s="8" t="s">
        <v>25</v>
      </c>
      <c r="E17" s="9"/>
      <c r="F17" s="48">
        <v>20</v>
      </c>
      <c r="G17" s="43"/>
      <c r="H17" s="12"/>
      <c r="I17" s="55"/>
      <c r="J17" s="15"/>
      <c r="L17" s="17" t="s">
        <v>26</v>
      </c>
      <c r="M17" s="18">
        <f>M15-M16</f>
        <v>2055</v>
      </c>
    </row>
    <row r="18" spans="3:18">
      <c r="C18" s="7">
        <v>8210</v>
      </c>
      <c r="D18" s="8" t="s">
        <v>27</v>
      </c>
      <c r="E18" s="16">
        <v>120</v>
      </c>
      <c r="F18" s="49"/>
      <c r="G18" s="43"/>
      <c r="H18" s="12"/>
      <c r="I18" s="55"/>
      <c r="J18" s="15"/>
      <c r="L18" s="20" t="s">
        <v>28</v>
      </c>
      <c r="M18" s="1">
        <f>F17-E18</f>
        <v>-100</v>
      </c>
    </row>
    <row r="19" spans="3:18">
      <c r="C19" s="7">
        <v>9110</v>
      </c>
      <c r="D19" s="8" t="s">
        <v>29</v>
      </c>
      <c r="E19" s="16">
        <v>207</v>
      </c>
      <c r="F19" s="49"/>
      <c r="G19" s="43"/>
      <c r="H19" s="12"/>
      <c r="I19" s="55"/>
      <c r="J19" s="15"/>
      <c r="L19" s="17" t="s">
        <v>30</v>
      </c>
      <c r="M19" s="18">
        <f>M17+M18</f>
        <v>1955</v>
      </c>
    </row>
    <row r="20" spans="3:18">
      <c r="C20" s="7">
        <v>11230</v>
      </c>
      <c r="D20" s="8" t="s">
        <v>31</v>
      </c>
      <c r="E20" s="16">
        <v>375</v>
      </c>
      <c r="F20" s="49"/>
      <c r="G20" s="43"/>
      <c r="H20" s="12"/>
      <c r="I20" s="43"/>
      <c r="J20" s="12"/>
      <c r="L20" t="s">
        <v>32</v>
      </c>
      <c r="M20" s="1">
        <f>E19</f>
        <v>207</v>
      </c>
    </row>
    <row r="21" spans="3:18" ht="15.75" thickBot="1">
      <c r="C21" s="7">
        <v>11231</v>
      </c>
      <c r="D21" s="8" t="s">
        <v>33</v>
      </c>
      <c r="E21" s="9"/>
      <c r="F21" s="51">
        <v>185</v>
      </c>
      <c r="G21" s="43"/>
      <c r="H21" s="12"/>
      <c r="I21" s="43"/>
      <c r="J21" s="12"/>
      <c r="L21" s="21" t="s">
        <v>34</v>
      </c>
      <c r="M21" s="22">
        <f>M19-M20</f>
        <v>1748</v>
      </c>
    </row>
    <row r="22" spans="3:18" ht="15.75" thickTop="1">
      <c r="C22" s="7">
        <v>11240</v>
      </c>
      <c r="D22" s="8" t="s">
        <v>35</v>
      </c>
      <c r="E22" s="10">
        <v>1290</v>
      </c>
      <c r="F22" s="49"/>
      <c r="G22" s="43"/>
      <c r="H22" s="12"/>
      <c r="I22" s="43"/>
      <c r="J22" s="12"/>
    </row>
    <row r="23" spans="3:18">
      <c r="C23" s="7">
        <v>11241</v>
      </c>
      <c r="D23" s="8" t="s">
        <v>36</v>
      </c>
      <c r="E23" s="9"/>
      <c r="F23" s="48">
        <v>550</v>
      </c>
      <c r="G23" s="43"/>
      <c r="H23" s="12"/>
      <c r="I23" s="43"/>
      <c r="J23" s="12"/>
      <c r="L23" s="23" t="s">
        <v>37</v>
      </c>
      <c r="M23" s="24"/>
    </row>
    <row r="24" spans="3:18">
      <c r="C24" s="7">
        <v>12110</v>
      </c>
      <c r="D24" s="8" t="s">
        <v>38</v>
      </c>
      <c r="E24" s="10">
        <v>2010</v>
      </c>
      <c r="F24" s="49"/>
      <c r="G24" s="43"/>
      <c r="H24" s="12"/>
      <c r="I24" s="43"/>
      <c r="J24" s="12"/>
      <c r="L24" s="25"/>
      <c r="M24" s="25"/>
    </row>
    <row r="25" spans="3:18">
      <c r="C25" s="7">
        <v>12210</v>
      </c>
      <c r="D25" s="8" t="s">
        <v>39</v>
      </c>
      <c r="E25" s="10">
        <v>1475</v>
      </c>
      <c r="F25" s="49"/>
      <c r="G25" s="43"/>
      <c r="H25" s="12"/>
      <c r="I25" s="43"/>
      <c r="J25" s="12"/>
    </row>
    <row r="26" spans="3:18">
      <c r="C26" s="7">
        <v>12290</v>
      </c>
      <c r="D26" s="8" t="s">
        <v>41</v>
      </c>
      <c r="E26" s="10"/>
      <c r="F26" s="49"/>
      <c r="G26" s="43"/>
      <c r="H26" s="12"/>
      <c r="I26" s="43"/>
      <c r="J26" s="12"/>
      <c r="L26" s="63" t="s">
        <v>84</v>
      </c>
      <c r="M26" s="57"/>
    </row>
    <row r="27" spans="3:18">
      <c r="C27" s="7">
        <v>12510</v>
      </c>
      <c r="D27" s="8" t="s">
        <v>42</v>
      </c>
      <c r="E27" s="10">
        <v>35</v>
      </c>
      <c r="F27" s="49"/>
      <c r="G27" s="43"/>
      <c r="H27" s="12"/>
      <c r="I27" s="43"/>
      <c r="J27" s="12"/>
      <c r="L27" s="58" t="s">
        <v>40</v>
      </c>
      <c r="M27" s="59">
        <f>4*40</f>
        <v>160</v>
      </c>
    </row>
    <row r="28" spans="3:18">
      <c r="C28" s="7">
        <v>12520</v>
      </c>
      <c r="D28" s="8" t="s">
        <v>43</v>
      </c>
      <c r="E28" s="9"/>
      <c r="F28" s="49"/>
      <c r="G28" s="43"/>
      <c r="H28" s="12"/>
      <c r="I28" s="43"/>
      <c r="J28" s="12"/>
      <c r="L28" s="58" t="s">
        <v>44</v>
      </c>
      <c r="M28" s="60">
        <f>M21-M27</f>
        <v>1588</v>
      </c>
    </row>
    <row r="29" spans="3:18">
      <c r="C29" s="7">
        <v>12530</v>
      </c>
      <c r="D29" s="14" t="s">
        <v>82</v>
      </c>
      <c r="E29" s="16">
        <v>75</v>
      </c>
      <c r="F29" s="49"/>
      <c r="G29" s="43"/>
      <c r="H29" s="12"/>
      <c r="I29" s="43"/>
      <c r="J29" s="12"/>
      <c r="L29" s="61"/>
      <c r="M29" s="62">
        <f>M21</f>
        <v>1748</v>
      </c>
    </row>
    <row r="30" spans="3:18">
      <c r="C30" s="7">
        <v>13110</v>
      </c>
      <c r="D30" s="8" t="s">
        <v>45</v>
      </c>
      <c r="E30" s="9"/>
      <c r="F30" s="48">
        <v>800</v>
      </c>
      <c r="G30" s="43"/>
      <c r="H30" s="12"/>
      <c r="I30" s="43"/>
      <c r="J30" s="12"/>
    </row>
    <row r="31" spans="3:18">
      <c r="C31" s="7">
        <v>13810</v>
      </c>
      <c r="D31" s="8" t="s">
        <v>46</v>
      </c>
      <c r="E31" s="9"/>
      <c r="F31" s="48">
        <v>121</v>
      </c>
      <c r="G31" s="43"/>
      <c r="H31" s="12"/>
      <c r="I31" s="43"/>
      <c r="J31" s="12"/>
    </row>
    <row r="32" spans="3:18">
      <c r="C32" s="7">
        <v>15110</v>
      </c>
      <c r="D32" s="8" t="s">
        <v>47</v>
      </c>
      <c r="E32" s="9"/>
      <c r="F32" s="48">
        <v>775</v>
      </c>
      <c r="G32" s="43"/>
      <c r="H32" s="12"/>
      <c r="I32" s="43"/>
      <c r="J32" s="12"/>
      <c r="R32" s="26"/>
    </row>
    <row r="33" spans="3:17">
      <c r="C33" s="7">
        <v>16220</v>
      </c>
      <c r="D33" s="8" t="s">
        <v>48</v>
      </c>
      <c r="E33" s="9"/>
      <c r="F33" s="48">
        <v>905</v>
      </c>
      <c r="G33" s="43"/>
      <c r="H33" s="12"/>
      <c r="I33" s="43"/>
      <c r="J33" s="12"/>
    </row>
    <row r="34" spans="3:17">
      <c r="C34" s="7">
        <v>16410</v>
      </c>
      <c r="D34" s="8" t="s">
        <v>50</v>
      </c>
      <c r="E34" s="9"/>
      <c r="F34" s="49"/>
      <c r="G34" s="43"/>
      <c r="H34" s="12"/>
      <c r="I34" s="43"/>
      <c r="J34" s="12"/>
    </row>
    <row r="35" spans="3:17" ht="15.75" thickBot="1">
      <c r="C35" s="7">
        <v>16890</v>
      </c>
      <c r="D35" s="8" t="s">
        <v>51</v>
      </c>
      <c r="E35" s="27"/>
      <c r="F35" s="52">
        <v>176</v>
      </c>
      <c r="G35" s="44"/>
      <c r="H35" s="45"/>
      <c r="I35" s="44"/>
      <c r="J35" s="45"/>
      <c r="L35" s="72" t="s">
        <v>52</v>
      </c>
      <c r="M35" s="72"/>
      <c r="N35" s="72"/>
      <c r="O35" s="72"/>
      <c r="P35" s="72"/>
      <c r="Q35" s="72"/>
    </row>
    <row r="36" spans="3:17" ht="15.75" thickBot="1">
      <c r="E36" s="28">
        <f>SUM(E7:E35)</f>
        <v>13802</v>
      </c>
      <c r="F36" s="29">
        <f>SUM(F7:F35)</f>
        <v>13782</v>
      </c>
      <c r="G36" s="11">
        <f>SUM(G7:G35)</f>
        <v>0</v>
      </c>
      <c r="H36" s="43">
        <f>SUM(H7:H35)</f>
        <v>0</v>
      </c>
      <c r="I36" s="53">
        <f>SUM(I20:I35)</f>
        <v>0</v>
      </c>
      <c r="J36" s="54">
        <f>SUM(J20:J35)</f>
        <v>0</v>
      </c>
      <c r="L36" s="72"/>
      <c r="M36" s="72"/>
      <c r="N36" s="72"/>
      <c r="O36" s="72"/>
      <c r="P36" s="72"/>
      <c r="Q36" s="72"/>
    </row>
    <row r="37" spans="3:17" ht="30">
      <c r="E37" s="1"/>
      <c r="F37" s="1"/>
      <c r="G37" s="43"/>
      <c r="H37" s="13"/>
      <c r="I37" s="30"/>
      <c r="J37" s="31"/>
      <c r="M37" s="26" t="s">
        <v>53</v>
      </c>
      <c r="N37" s="26" t="s">
        <v>54</v>
      </c>
      <c r="O37" s="26" t="s">
        <v>55</v>
      </c>
      <c r="P37" s="26" t="s">
        <v>56</v>
      </c>
    </row>
    <row r="38" spans="3:17" ht="15.75" thickBot="1">
      <c r="E38" s="1"/>
      <c r="F38" s="1"/>
      <c r="G38" s="28"/>
      <c r="H38" s="32"/>
      <c r="I38" s="28"/>
      <c r="J38" s="29"/>
      <c r="K38" s="1"/>
      <c r="L38" t="s">
        <v>57</v>
      </c>
      <c r="M38" s="34">
        <v>800</v>
      </c>
      <c r="N38" s="34"/>
      <c r="O38" s="34">
        <v>121</v>
      </c>
      <c r="P38" s="35"/>
    </row>
    <row r="39" spans="3:17" ht="15.75" thickBot="1">
      <c r="L39" t="s">
        <v>58</v>
      </c>
      <c r="M39" s="33"/>
      <c r="N39" s="36"/>
      <c r="O39" s="37">
        <f>M28</f>
        <v>1588</v>
      </c>
      <c r="P39" s="37">
        <f>M27</f>
        <v>160</v>
      </c>
    </row>
    <row r="40" spans="3:17" ht="16.5" thickTop="1" thickBot="1">
      <c r="K40" s="1"/>
      <c r="L40" t="s">
        <v>59</v>
      </c>
      <c r="N40" s="33"/>
      <c r="O40" s="33">
        <f>SUM(O38:O39)</f>
        <v>1709</v>
      </c>
      <c r="P40" s="33">
        <f>SUM(P38:P39)</f>
        <v>160</v>
      </c>
    </row>
    <row r="41" spans="3:17" ht="15.75" thickTop="1"/>
    <row r="42" spans="3:17">
      <c r="K42" s="1"/>
    </row>
    <row r="43" spans="3:17">
      <c r="L43" s="72" t="s">
        <v>60</v>
      </c>
      <c r="M43" s="72"/>
      <c r="N43" s="72"/>
      <c r="O43" s="72"/>
      <c r="P43" s="72"/>
    </row>
    <row r="44" spans="3:17">
      <c r="K44" s="1"/>
      <c r="L44" s="72"/>
      <c r="M44" s="72"/>
      <c r="N44" s="72"/>
      <c r="O44" s="72"/>
      <c r="P44" s="72"/>
    </row>
    <row r="45" spans="3:17">
      <c r="K45" s="1"/>
      <c r="L45" s="64" t="s">
        <v>61</v>
      </c>
      <c r="M45" s="64"/>
      <c r="N45" s="17"/>
      <c r="O45" s="64" t="s">
        <v>62</v>
      </c>
      <c r="P45" s="64"/>
    </row>
    <row r="46" spans="3:17">
      <c r="L46" t="s">
        <v>63</v>
      </c>
      <c r="O46" t="s">
        <v>64</v>
      </c>
    </row>
    <row r="47" spans="3:17">
      <c r="J47" s="1"/>
      <c r="K47" s="1"/>
      <c r="L47" t="s">
        <v>65</v>
      </c>
      <c r="M47" s="38">
        <f>E22-F23</f>
        <v>740</v>
      </c>
      <c r="O47" t="s">
        <v>66</v>
      </c>
      <c r="P47" s="1">
        <f>F30</f>
        <v>800</v>
      </c>
    </row>
    <row r="48" spans="3:17">
      <c r="D48" s="1"/>
      <c r="J48" s="1"/>
      <c r="L48" t="s">
        <v>49</v>
      </c>
      <c r="M48" s="38">
        <f>E20-F21</f>
        <v>190</v>
      </c>
      <c r="O48" t="s">
        <v>54</v>
      </c>
      <c r="P48" s="1"/>
    </row>
    <row r="49" spans="4:16">
      <c r="D49" s="1"/>
      <c r="L49" s="17" t="s">
        <v>83</v>
      </c>
      <c r="M49" s="39">
        <f>SUM(M47:M48)</f>
        <v>930</v>
      </c>
      <c r="O49" t="s">
        <v>55</v>
      </c>
      <c r="P49" s="1">
        <f>O40</f>
        <v>1709</v>
      </c>
    </row>
    <row r="50" spans="4:16">
      <c r="D50" s="1"/>
      <c r="K50" s="1"/>
      <c r="M50" s="38"/>
      <c r="O50" t="s">
        <v>68</v>
      </c>
      <c r="P50" s="1">
        <f>M27</f>
        <v>160</v>
      </c>
    </row>
    <row r="51" spans="4:16">
      <c r="L51" t="s">
        <v>67</v>
      </c>
      <c r="M51" s="38"/>
      <c r="O51" s="17" t="s">
        <v>70</v>
      </c>
      <c r="P51" s="40">
        <f>SUM(P47:P50)</f>
        <v>2669</v>
      </c>
    </row>
    <row r="52" spans="4:16">
      <c r="K52" s="1"/>
      <c r="L52" t="s">
        <v>69</v>
      </c>
      <c r="M52" s="38">
        <f>E24</f>
        <v>2010</v>
      </c>
    </row>
    <row r="53" spans="4:16">
      <c r="K53" s="1"/>
      <c r="L53" t="s">
        <v>71</v>
      </c>
      <c r="M53" s="1">
        <f>E25</f>
        <v>1475</v>
      </c>
      <c r="O53" t="s">
        <v>73</v>
      </c>
    </row>
    <row r="54" spans="4:16">
      <c r="L54" t="s">
        <v>72</v>
      </c>
      <c r="M54" s="38">
        <f>E26</f>
        <v>0</v>
      </c>
      <c r="P54" s="1"/>
    </row>
    <row r="55" spans="4:16">
      <c r="L55" t="s">
        <v>74</v>
      </c>
      <c r="M55" s="38">
        <f>E27+E29+E28</f>
        <v>110</v>
      </c>
      <c r="O55" t="s">
        <v>76</v>
      </c>
      <c r="P55" s="1">
        <f>F32</f>
        <v>775</v>
      </c>
    </row>
    <row r="56" spans="4:16">
      <c r="L56" s="17" t="s">
        <v>75</v>
      </c>
      <c r="M56" s="39">
        <f>SUM(M52:M55)</f>
        <v>3595</v>
      </c>
      <c r="O56" t="s">
        <v>77</v>
      </c>
      <c r="P56" s="1">
        <f>F33+F35</f>
        <v>1081</v>
      </c>
    </row>
    <row r="57" spans="4:16">
      <c r="M57" s="38"/>
      <c r="O57" s="17" t="s">
        <v>79</v>
      </c>
      <c r="P57" s="40">
        <f>SUM(P55:P56)</f>
        <v>1856</v>
      </c>
    </row>
    <row r="58" spans="4:16" ht="15.75" thickBot="1">
      <c r="L58" s="17" t="s">
        <v>78</v>
      </c>
      <c r="M58" s="41">
        <f>M56+M49</f>
        <v>4525</v>
      </c>
      <c r="O58" s="17"/>
      <c r="P58" s="17"/>
    </row>
    <row r="59" spans="4:16" ht="16.5" thickTop="1" thickBot="1">
      <c r="O59" s="17" t="s">
        <v>80</v>
      </c>
      <c r="P59" s="42">
        <f>P51+P57</f>
        <v>4525</v>
      </c>
    </row>
    <row r="60" spans="4:16" ht="15.75" thickTop="1"/>
  </sheetData>
  <mergeCells count="8">
    <mergeCell ref="L45:M45"/>
    <mergeCell ref="O45:P45"/>
    <mergeCell ref="E5:F5"/>
    <mergeCell ref="G5:H5"/>
    <mergeCell ref="I5:J5"/>
    <mergeCell ref="L9:M9"/>
    <mergeCell ref="L35:Q36"/>
    <mergeCell ref="L43:P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Niebuhr Lambertsen</dc:creator>
  <cp:lastModifiedBy>asger konradi</cp:lastModifiedBy>
  <dcterms:created xsi:type="dcterms:W3CDTF">2023-09-13T13:07:06Z</dcterms:created>
  <dcterms:modified xsi:type="dcterms:W3CDTF">2024-01-17T14:53:52Z</dcterms:modified>
</cp:coreProperties>
</file>