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principper/regnskabsslides/"/>
    </mc:Choice>
  </mc:AlternateContent>
  <xr:revisionPtr revIDLastSave="113" documentId="8_{8BAC0FCD-7EDA-4A8D-88E0-D499FC56FB32}" xr6:coauthVersionLast="47" xr6:coauthVersionMax="47" xr10:uidLastSave="{2DD707F0-0C2E-4046-9D44-7B15F117C923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Print_Area" localSheetId="0">Template!$B$1:$D$43,Template!#REF!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24" i="1"/>
  <c r="C12" i="1"/>
  <c r="C28" i="1"/>
  <c r="D30" i="1" s="1"/>
  <c r="L19" i="1"/>
  <c r="K19" i="1"/>
  <c r="M14" i="1"/>
  <c r="M15" i="1"/>
  <c r="M16" i="1"/>
  <c r="M18" i="1"/>
  <c r="M17" i="1"/>
  <c r="M11" i="1"/>
  <c r="M10" i="1"/>
  <c r="C13" i="1" s="1"/>
  <c r="M9" i="1"/>
  <c r="M8" i="1"/>
  <c r="C11" i="1" s="1"/>
  <c r="M7" i="1"/>
  <c r="L12" i="1"/>
  <c r="K12" i="1"/>
  <c r="D36" i="1"/>
  <c r="D25" i="1" l="1"/>
  <c r="D38" i="1" s="1"/>
  <c r="D42" i="1"/>
  <c r="E42" i="1" l="1"/>
</calcChain>
</file>

<file path=xl/sharedStrings.xml><?xml version="1.0" encoding="utf-8"?>
<sst xmlns="http://schemas.openxmlformats.org/spreadsheetml/2006/main" count="49" uniqueCount="46">
  <si>
    <t>Newbury Travel Products, Inc.</t>
  </si>
  <si>
    <t>Statement of Cash Flows</t>
  </si>
  <si>
    <t>Year Ended December 31, 20X6</t>
  </si>
  <si>
    <t>Cash flows from operating activities:</t>
  </si>
  <si>
    <t xml:space="preserve">     Net income…………………………………………...</t>
  </si>
  <si>
    <t xml:space="preserve">     Adjustments to reconcile net income to</t>
  </si>
  <si>
    <t xml:space="preserve">     net cash provided by operating activities:</t>
  </si>
  <si>
    <t xml:space="preserve">          Depreciation……………………………………...</t>
  </si>
  <si>
    <t>Cash flows from investing activities:</t>
  </si>
  <si>
    <t>Cash flows from financing activities:</t>
  </si>
  <si>
    <t xml:space="preserve">          Net cash provided by financing activities…..</t>
  </si>
  <si>
    <t>Net increase in cash……………………………………</t>
  </si>
  <si>
    <t>Cash balance, December 31, 20X5…………………..</t>
  </si>
  <si>
    <t>Cash balance, December 31, 20X6…………………..</t>
  </si>
  <si>
    <t>Total adjustments</t>
  </si>
  <si>
    <t xml:space="preserve">          Net cash provided by operating activities (=income+adj)</t>
  </si>
  <si>
    <t>E11-20A - Req. 1</t>
  </si>
  <si>
    <t xml:space="preserve">          [Issuing/Repurchasing shares/long-term debt/paying dividends]</t>
  </si>
  <si>
    <t>acc receivable</t>
  </si>
  <si>
    <t>Prepaid expenses</t>
  </si>
  <si>
    <t>Bought PPE</t>
  </si>
  <si>
    <t xml:space="preserve">          Net cash provided by investing activities……….</t>
  </si>
  <si>
    <t>Land</t>
  </si>
  <si>
    <t>cash fået</t>
  </si>
  <si>
    <t>"+ da cash ikke forsvinder"</t>
  </si>
  <si>
    <t>ppe</t>
  </si>
  <si>
    <t>kapitalandel(til indre værdi)</t>
  </si>
  <si>
    <t>varebeholdning</t>
  </si>
  <si>
    <t>debitorer</t>
  </si>
  <si>
    <t>likvide beholdninger</t>
  </si>
  <si>
    <t>i alt aktiver</t>
  </si>
  <si>
    <t>egenkapital</t>
  </si>
  <si>
    <t>hensættelse til udskudt skat</t>
  </si>
  <si>
    <t>prioritetsgæld</t>
  </si>
  <si>
    <t>forudbetaling fra kunder</t>
  </si>
  <si>
    <t>varekreditorer</t>
  </si>
  <si>
    <t>passiver total</t>
  </si>
  <si>
    <t>20x5</t>
  </si>
  <si>
    <t>20x6</t>
  </si>
  <si>
    <t>diff</t>
  </si>
  <si>
    <t>.</t>
  </si>
  <si>
    <t>dividender</t>
  </si>
  <si>
    <t>optagelse af gæld</t>
  </si>
  <si>
    <t>hensættelse til skat</t>
  </si>
  <si>
    <t>forudbetalinger fra kunder</t>
  </si>
  <si>
    <t>varekreditorer(vi skylder dem varer)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</si>
</sst>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u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3" fontId="1" fillId="3" borderId="0" xfId="0" applyNumberFormat="1" applyFont="1" applyFill="1" applyAlignment="1">
      <alignment horizontal="right" vertical="center" wrapText="1"/>
    </xf>
    <xf numFmtId="3" fontId="1" fillId="4" borderId="0" xfId="0" applyNumberFormat="1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right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right" vertical="center" wrapText="1"/>
    </xf>
    <xf numFmtId="3" fontId="1" fillId="6" borderId="0" xfId="0" applyNumberFormat="1" applyFont="1" applyFill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5" borderId="0" xfId="0" applyFont="1" applyFill="1"/>
    <xf numFmtId="0" fontId="6" fillId="0" borderId="0" xfId="0" applyFont="1"/>
    <xf numFmtId="3" fontId="5" fillId="0" borderId="0" xfId="0" applyNumberFormat="1" applyFont="1"/>
    <xf numFmtId="0" fontId="7" fillId="0" borderId="0" xfId="0" applyFont="1"/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3" fontId="1" fillId="3" borderId="2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241788</xdr:colOff>
      <xdr:row>0</xdr:row>
      <xdr:rowOff>0</xdr:rowOff>
    </xdr:from>
    <xdr:to>
      <xdr:col>26</xdr:col>
      <xdr:colOff>552649</xdr:colOff>
      <xdr:row>32</xdr:row>
      <xdr:rowOff>160838</xdr:rowOff>
    </xdr:to>
    <xdr:pic>
      <xdr:nvPicPr>
        <xdr:cNvPr id="3" name="Billede 2" descr="Et billede, der indeholder tekst, kvittering, skærmbillede, nummer/tal&#10;&#10;Automatisk genereret beskrivelse">
          <a:extLst>
            <a:ext uri="{FF2B5EF4-FFF2-40B4-BE49-F238E27FC236}">
              <a16:creationId xmlns:a16="http://schemas.microsoft.com/office/drawing/2014/main" id="{83D87393-031D-AB7D-18BD-45DC417E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2923" y="0"/>
          <a:ext cx="6677957" cy="7964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4" zoomScale="130" zoomScaleNormal="130" workbookViewId="0">
      <selection activeCell="E15" sqref="E15"/>
    </sheetView>
  </sheetViews>
  <sheetFormatPr defaultColWidth="8.7109375" defaultRowHeight="15" x14ac:dyDescent="0.25"/>
  <cols>
    <col min="1" max="1" width="8.7109375" style="18"/>
    <col min="2" max="2" width="66.140625" style="18" customWidth="1"/>
    <col min="3" max="3" width="12.140625" style="17" customWidth="1"/>
    <col min="4" max="4" width="14.42578125" style="17" customWidth="1"/>
    <col min="5" max="5" width="9.42578125" style="18" bestFit="1" customWidth="1"/>
    <col min="6" max="9" width="8.7109375" style="18"/>
    <col min="10" max="10" width="24.140625" style="18" customWidth="1"/>
    <col min="11" max="16384" width="8.7109375" style="18"/>
  </cols>
  <sheetData>
    <row r="1" spans="1:14" ht="20.100000000000001" customHeight="1" x14ac:dyDescent="0.25">
      <c r="A1" s="4"/>
      <c r="B1" s="4" t="s">
        <v>16</v>
      </c>
    </row>
    <row r="2" spans="1:14" ht="20.100000000000001" customHeight="1" x14ac:dyDescent="0.25"/>
    <row r="3" spans="1:14" x14ac:dyDescent="0.25">
      <c r="B3" s="28" t="s">
        <v>0</v>
      </c>
      <c r="C3" s="28"/>
      <c r="D3" s="28"/>
    </row>
    <row r="4" spans="1:14" x14ac:dyDescent="0.25">
      <c r="B4" s="28" t="s">
        <v>1</v>
      </c>
      <c r="C4" s="28"/>
      <c r="D4" s="28"/>
    </row>
    <row r="5" spans="1:14" ht="15.75" thickBot="1" x14ac:dyDescent="0.3">
      <c r="B5" s="29" t="s">
        <v>2</v>
      </c>
      <c r="C5" s="29"/>
      <c r="D5" s="29"/>
    </row>
    <row r="6" spans="1:14" s="19" customFormat="1" ht="20.100000000000001" customHeight="1" x14ac:dyDescent="0.25">
      <c r="B6" s="12" t="s">
        <v>3</v>
      </c>
      <c r="C6" s="13"/>
      <c r="D6" s="13"/>
      <c r="K6" s="19" t="s">
        <v>37</v>
      </c>
      <c r="L6" s="19" t="s">
        <v>38</v>
      </c>
      <c r="M6" s="19" t="s">
        <v>39</v>
      </c>
    </row>
    <row r="7" spans="1:14" ht="20.100000000000001" customHeight="1" x14ac:dyDescent="0.25">
      <c r="B7" s="11" t="s">
        <v>4</v>
      </c>
      <c r="C7" s="1"/>
      <c r="D7" s="7">
        <v>6420</v>
      </c>
      <c r="E7" s="18" t="s">
        <v>23</v>
      </c>
      <c r="J7" s="18" t="s">
        <v>25</v>
      </c>
      <c r="K7" s="18">
        <v>36470</v>
      </c>
      <c r="L7" s="18">
        <v>43785</v>
      </c>
      <c r="M7" s="18">
        <f>K7-L7</f>
        <v>-7315</v>
      </c>
      <c r="N7" s="18" t="s">
        <v>40</v>
      </c>
    </row>
    <row r="8" spans="1:14" ht="20.100000000000001" customHeight="1" x14ac:dyDescent="0.25">
      <c r="B8" s="3" t="s">
        <v>5</v>
      </c>
      <c r="C8" s="1"/>
      <c r="D8" s="1"/>
      <c r="J8" s="18" t="s">
        <v>26</v>
      </c>
      <c r="K8" s="18">
        <v>6230</v>
      </c>
      <c r="L8" s="18">
        <v>6605</v>
      </c>
      <c r="M8" s="18">
        <f>K8-L8</f>
        <v>-375</v>
      </c>
    </row>
    <row r="9" spans="1:14" ht="20.100000000000001" customHeight="1" x14ac:dyDescent="0.25">
      <c r="B9" s="3" t="s">
        <v>6</v>
      </c>
      <c r="C9" s="1"/>
      <c r="D9" s="1"/>
      <c r="J9" s="18" t="s">
        <v>27</v>
      </c>
      <c r="K9" s="18">
        <v>6200</v>
      </c>
      <c r="L9" s="18">
        <v>6810</v>
      </c>
      <c r="M9" s="18">
        <f>K9-L9</f>
        <v>-610</v>
      </c>
      <c r="N9" s="18" t="s">
        <v>40</v>
      </c>
    </row>
    <row r="10" spans="1:14" ht="20.100000000000001" customHeight="1" x14ac:dyDescent="0.25">
      <c r="B10" s="11" t="s">
        <v>7</v>
      </c>
      <c r="C10" s="8">
        <v>3525</v>
      </c>
      <c r="D10" s="1"/>
      <c r="E10" s="18" t="s">
        <v>24</v>
      </c>
      <c r="J10" s="18" t="s">
        <v>28</v>
      </c>
      <c r="K10" s="18">
        <v>2175</v>
      </c>
      <c r="L10" s="18">
        <v>2530</v>
      </c>
      <c r="M10" s="18">
        <f>K10-L10</f>
        <v>-355</v>
      </c>
    </row>
    <row r="11" spans="1:14" ht="20.100000000000001" customHeight="1" x14ac:dyDescent="0.25">
      <c r="B11" s="24" t="s">
        <v>18</v>
      </c>
      <c r="C11" s="8">
        <f>M8</f>
        <v>-375</v>
      </c>
      <c r="D11" s="1"/>
      <c r="J11" s="18" t="s">
        <v>29</v>
      </c>
      <c r="K11" s="18">
        <v>1095</v>
      </c>
      <c r="L11" s="18">
        <v>1690</v>
      </c>
      <c r="M11" s="18">
        <f>L11-K11</f>
        <v>595</v>
      </c>
    </row>
    <row r="12" spans="1:14" ht="20.100000000000001" customHeight="1" x14ac:dyDescent="0.25">
      <c r="B12" s="24" t="s">
        <v>27</v>
      </c>
      <c r="C12" s="8">
        <f>M9</f>
        <v>-610</v>
      </c>
      <c r="D12" s="1"/>
      <c r="J12" s="22" t="s">
        <v>30</v>
      </c>
      <c r="K12" s="22">
        <f>SUM(K7:K11)</f>
        <v>52170</v>
      </c>
      <c r="L12" s="22">
        <f>SUM(L7:L11)</f>
        <v>61420</v>
      </c>
    </row>
    <row r="13" spans="1:14" ht="20.100000000000001" customHeight="1" x14ac:dyDescent="0.25">
      <c r="B13" s="24" t="s">
        <v>19</v>
      </c>
      <c r="C13" s="9">
        <f>M10</f>
        <v>-355</v>
      </c>
      <c r="D13" s="1"/>
    </row>
    <row r="14" spans="1:14" ht="20.100000000000001" customHeight="1" x14ac:dyDescent="0.25">
      <c r="B14" s="24" t="s">
        <v>43</v>
      </c>
      <c r="C14" s="8">
        <v>1105</v>
      </c>
      <c r="D14" s="1"/>
      <c r="J14" s="18" t="s">
        <v>31</v>
      </c>
      <c r="K14" s="18">
        <v>20435</v>
      </c>
      <c r="L14" s="18">
        <v>23775</v>
      </c>
      <c r="M14" s="18">
        <f>L14-K14</f>
        <v>3340</v>
      </c>
    </row>
    <row r="15" spans="1:14" ht="20.100000000000001" customHeight="1" x14ac:dyDescent="0.25">
      <c r="B15" s="24"/>
      <c r="C15" s="8"/>
      <c r="J15" s="18" t="s">
        <v>32</v>
      </c>
      <c r="K15" s="18">
        <v>2285</v>
      </c>
      <c r="L15" s="18">
        <v>3390</v>
      </c>
      <c r="M15" s="18">
        <f>L15-K15</f>
        <v>1105</v>
      </c>
    </row>
    <row r="16" spans="1:14" s="20" customFormat="1" ht="20.100000000000001" customHeight="1" x14ac:dyDescent="0.25">
      <c r="B16" s="20" t="s">
        <v>44</v>
      </c>
      <c r="C16" s="20">
        <v>205</v>
      </c>
      <c r="J16" s="20" t="s">
        <v>33</v>
      </c>
      <c r="K16" s="20">
        <v>25295</v>
      </c>
      <c r="L16" s="20">
        <v>29615</v>
      </c>
      <c r="M16" s="20">
        <f>L16-K16</f>
        <v>4320</v>
      </c>
      <c r="N16" s="20" t="s">
        <v>40</v>
      </c>
    </row>
    <row r="17" spans="1:13" ht="20.100000000000001" customHeight="1" x14ac:dyDescent="0.25">
      <c r="B17" s="18" t="s">
        <v>45</v>
      </c>
      <c r="C17" s="17">
        <v>280</v>
      </c>
      <c r="J17" s="18" t="s">
        <v>34</v>
      </c>
      <c r="K17" s="18">
        <v>1370</v>
      </c>
      <c r="L17" s="18">
        <v>1575</v>
      </c>
      <c r="M17" s="18">
        <f>L17-K17</f>
        <v>205</v>
      </c>
    </row>
    <row r="18" spans="1:13" ht="20.100000000000001" customHeight="1" x14ac:dyDescent="0.25">
      <c r="J18" s="18" t="s">
        <v>35</v>
      </c>
      <c r="K18" s="18">
        <v>2785</v>
      </c>
      <c r="L18" s="18">
        <v>3065</v>
      </c>
      <c r="M18" s="18">
        <f>L18-K18</f>
        <v>280</v>
      </c>
    </row>
    <row r="19" spans="1:13" s="19" customFormat="1" ht="20.100000000000001" customHeight="1" x14ac:dyDescent="0.25">
      <c r="J19" s="30" t="s">
        <v>36</v>
      </c>
      <c r="K19" s="19">
        <f>SUM(K14:K18)</f>
        <v>52170</v>
      </c>
      <c r="L19" s="19">
        <f>SUM(L14:L18)</f>
        <v>61420</v>
      </c>
    </row>
    <row r="20" spans="1:13" ht="20.100000000000001" customHeight="1" x14ac:dyDescent="0.25"/>
    <row r="21" spans="1:13" ht="20.100000000000001" customHeight="1" x14ac:dyDescent="0.25"/>
    <row r="22" spans="1:13" ht="20.100000000000001" customHeight="1" x14ac:dyDescent="0.25"/>
    <row r="23" spans="1:13" ht="20.100000000000001" customHeight="1" x14ac:dyDescent="0.25"/>
    <row r="24" spans="1:13" s="19" customFormat="1" ht="20.100000000000001" customHeight="1" x14ac:dyDescent="0.25">
      <c r="A24" s="20"/>
      <c r="B24" s="4" t="s">
        <v>14</v>
      </c>
      <c r="C24" s="5"/>
      <c r="D24" s="6">
        <f>SUM(C10:C17)</f>
        <v>3775</v>
      </c>
      <c r="E24" s="20"/>
    </row>
    <row r="25" spans="1:13" ht="20.100000000000001" customHeight="1" x14ac:dyDescent="0.25">
      <c r="B25" s="11" t="s">
        <v>15</v>
      </c>
      <c r="C25" s="1"/>
      <c r="D25" s="7">
        <f>D7+D24</f>
        <v>10195</v>
      </c>
    </row>
    <row r="26" spans="1:13" ht="20.100000000000001" customHeight="1" x14ac:dyDescent="0.25">
      <c r="B26" s="11"/>
      <c r="C26" s="1"/>
      <c r="D26" s="1"/>
    </row>
    <row r="27" spans="1:13" ht="20.100000000000001" customHeight="1" x14ac:dyDescent="0.25">
      <c r="A27" s="19"/>
      <c r="B27" s="12" t="s">
        <v>8</v>
      </c>
      <c r="C27" s="13"/>
      <c r="D27" s="13"/>
      <c r="E27" s="19"/>
    </row>
    <row r="28" spans="1:13" ht="20.100000000000001" customHeight="1" x14ac:dyDescent="0.25">
      <c r="B28" s="24" t="s">
        <v>20</v>
      </c>
      <c r="C28" s="8">
        <f>M7-3525</f>
        <v>-10840</v>
      </c>
      <c r="D28" s="1"/>
    </row>
    <row r="29" spans="1:13" ht="20.100000000000001" customHeight="1" x14ac:dyDescent="0.25">
      <c r="B29" s="24" t="s">
        <v>22</v>
      </c>
      <c r="C29" s="10"/>
      <c r="D29" s="1"/>
    </row>
    <row r="30" spans="1:13" ht="20.100000000000001" customHeight="1" x14ac:dyDescent="0.25">
      <c r="B30" s="11" t="s">
        <v>21</v>
      </c>
      <c r="C30" s="1"/>
      <c r="D30" s="7">
        <f>C28+C29</f>
        <v>-10840</v>
      </c>
      <c r="F30" s="21"/>
    </row>
    <row r="31" spans="1:13" ht="20.100000000000001" customHeight="1" x14ac:dyDescent="0.25">
      <c r="B31" s="11"/>
      <c r="C31" s="1"/>
      <c r="D31" s="1"/>
    </row>
    <row r="32" spans="1:13" ht="20.100000000000001" customHeight="1" x14ac:dyDescent="0.25">
      <c r="A32" s="19"/>
      <c r="B32" s="12" t="s">
        <v>9</v>
      </c>
      <c r="C32" s="13"/>
      <c r="D32" s="13"/>
      <c r="E32" s="19"/>
    </row>
    <row r="33" spans="2:5" ht="20.100000000000001" customHeight="1" x14ac:dyDescent="0.25">
      <c r="B33" s="24" t="s">
        <v>41</v>
      </c>
      <c r="C33" s="8">
        <v>-3080</v>
      </c>
      <c r="D33" s="1"/>
    </row>
    <row r="34" spans="2:5" ht="20.100000000000001" customHeight="1" x14ac:dyDescent="0.25">
      <c r="B34" s="24" t="s">
        <v>42</v>
      </c>
      <c r="C34" s="8">
        <v>4320</v>
      </c>
      <c r="D34" s="1"/>
    </row>
    <row r="35" spans="2:5" ht="20.100000000000001" customHeight="1" x14ac:dyDescent="0.25">
      <c r="B35" s="24" t="s">
        <v>17</v>
      </c>
      <c r="C35" s="8"/>
      <c r="D35" s="1"/>
    </row>
    <row r="36" spans="2:5" ht="20.100000000000001" customHeight="1" x14ac:dyDescent="0.25">
      <c r="B36" s="11" t="s">
        <v>10</v>
      </c>
      <c r="C36" s="1"/>
      <c r="D36" s="7">
        <f>SUM(C33:C35)</f>
        <v>1240</v>
      </c>
    </row>
    <row r="37" spans="2:5" ht="20.100000000000001" customHeight="1" x14ac:dyDescent="0.25">
      <c r="B37" s="11"/>
      <c r="C37" s="1"/>
      <c r="D37" s="2"/>
    </row>
    <row r="38" spans="2:5" ht="18.95" customHeight="1" x14ac:dyDescent="0.25">
      <c r="B38" s="25" t="s">
        <v>11</v>
      </c>
      <c r="C38" s="26"/>
      <c r="D38" s="27">
        <f>D25+D36+D30</f>
        <v>595</v>
      </c>
    </row>
    <row r="39" spans="2:5" ht="18.95" customHeight="1" x14ac:dyDescent="0.25">
      <c r="B39" s="11"/>
      <c r="C39" s="1"/>
      <c r="D39" s="1"/>
    </row>
    <row r="40" spans="2:5" ht="18.95" customHeight="1" x14ac:dyDescent="0.25">
      <c r="B40" s="14" t="s">
        <v>12</v>
      </c>
      <c r="C40" s="15"/>
      <c r="D40" s="16">
        <f>K11</f>
        <v>1095</v>
      </c>
    </row>
    <row r="41" spans="2:5" ht="18.95" customHeight="1" x14ac:dyDescent="0.25">
      <c r="B41" s="14" t="s">
        <v>13</v>
      </c>
      <c r="C41" s="15"/>
      <c r="D41" s="16">
        <f>L11</f>
        <v>1690</v>
      </c>
    </row>
    <row r="42" spans="2:5" ht="18.95" customHeight="1" x14ac:dyDescent="0.25">
      <c r="B42" s="11"/>
      <c r="C42" s="1"/>
      <c r="D42" s="16">
        <f>D41-D40</f>
        <v>595</v>
      </c>
      <c r="E42" s="18" t="b">
        <f>D42=D38</f>
        <v>1</v>
      </c>
    </row>
    <row r="43" spans="2:5" ht="18.95" customHeight="1" x14ac:dyDescent="0.25">
      <c r="B43" s="11"/>
      <c r="C43" s="1"/>
      <c r="D43" s="2"/>
    </row>
    <row r="44" spans="2:5" ht="18.95" customHeight="1" x14ac:dyDescent="0.25"/>
    <row r="45" spans="2:5" ht="18.95" customHeight="1" x14ac:dyDescent="0.25"/>
    <row r="46" spans="2:5" ht="18.95" customHeight="1" x14ac:dyDescent="0.25"/>
    <row r="47" spans="2:5" s="23" customFormat="1" ht="18.95" customHeight="1" x14ac:dyDescent="0.25">
      <c r="B47" s="18"/>
      <c r="C47" s="17"/>
      <c r="D47" s="17"/>
    </row>
    <row r="48" spans="2:5" s="23" customFormat="1" ht="18.95" customHeight="1" x14ac:dyDescent="0.25">
      <c r="B48" s="18"/>
      <c r="C48" s="17"/>
      <c r="D48" s="17"/>
    </row>
    <row r="49" spans="2:4" s="23" customFormat="1" ht="18.95" customHeight="1" x14ac:dyDescent="0.25">
      <c r="B49" s="18"/>
      <c r="C49" s="17"/>
      <c r="D49" s="17"/>
    </row>
    <row r="50" spans="2:4" s="23" customFormat="1" ht="18.95" customHeight="1" x14ac:dyDescent="0.25">
      <c r="B50" s="18"/>
      <c r="C50" s="17"/>
      <c r="D50" s="17"/>
    </row>
    <row r="51" spans="2:4" s="23" customFormat="1" ht="18.95" customHeight="1" x14ac:dyDescent="0.25">
      <c r="B51" s="18"/>
      <c r="C51" s="17"/>
      <c r="D51" s="17"/>
    </row>
    <row r="52" spans="2:4" s="23" customFormat="1" x14ac:dyDescent="0.25">
      <c r="B52" s="18"/>
      <c r="C52" s="17"/>
      <c r="D52" s="17"/>
    </row>
    <row r="53" spans="2:4" s="23" customFormat="1" ht="60.6" customHeight="1" x14ac:dyDescent="0.25">
      <c r="B53" s="18"/>
      <c r="C53" s="17"/>
      <c r="D53" s="17"/>
    </row>
  </sheetData>
  <mergeCells count="3">
    <mergeCell ref="B3:D3"/>
    <mergeCell ref="B4:D4"/>
    <mergeCell ref="B5:D5"/>
  </mergeCells>
  <pageMargins left="0.7" right="0.7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Template</vt:lpstr>
    </vt:vector>
  </TitlesOfParts>
  <Company>Aarhus School of Business and Social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Damiana Rigamonti</dc:creator>
  <cp:lastModifiedBy>asger konradi</cp:lastModifiedBy>
  <cp:lastPrinted>2018-10-08T19:30:06Z</cp:lastPrinted>
  <dcterms:created xsi:type="dcterms:W3CDTF">2014-11-26T17:53:04Z</dcterms:created>
  <dcterms:modified xsi:type="dcterms:W3CDTF">2024-01-17T20:36:01Z</dcterms:modified>
</cp:coreProperties>
</file>