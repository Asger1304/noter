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6d2e27841fd4b7ba/Skrivebord/principper/or slides/"/>
    </mc:Choice>
  </mc:AlternateContent>
  <xr:revisionPtr revIDLastSave="252" documentId="8_{C4E81C28-A8AD-4FAE-A74C-19064884844D}" xr6:coauthVersionLast="47" xr6:coauthVersionMax="47" xr10:uidLastSave="{2A9AF63A-C5F1-46CF-A17A-784022B48A34}"/>
  <bookViews>
    <workbookView xWindow="0" yWindow="780" windowWidth="15555" windowHeight="9525" activeTab="4" xr2:uid="{02C8891F-E66D-4E63-B1B5-BBA9B9C56B80}"/>
  </bookViews>
  <sheets>
    <sheet name="Følsomhedsrapport 1" sheetId="4" r:id="rId1"/>
    <sheet name="LP LØSNING" sheetId="1" r:id="rId2"/>
    <sheet name="Dualle problem" sheetId="5" r:id="rId3"/>
    <sheet name="Nyt produkt" sheetId="6" r:id="rId4"/>
    <sheet name="Ark5" sheetId="7" r:id="rId5"/>
    <sheet name="Ark6" sheetId="8" r:id="rId6"/>
  </sheets>
  <definedNames>
    <definedName name="solver_adj" localSheetId="4" hidden="1">'Ark5'!$B$15:$M$15</definedName>
    <definedName name="solver_adj" localSheetId="2" hidden="1">'Dualle problem'!$C$15:$E$15</definedName>
    <definedName name="solver_adj" localSheetId="1" hidden="1">'LP LØSNING'!$C$18:$E$18</definedName>
    <definedName name="solver_adj" localSheetId="3" hidden="1">'Nyt produkt'!$C$8:$E$8</definedName>
    <definedName name="solver_cvg" localSheetId="4" hidden="1">0.0001</definedName>
    <definedName name="solver_cvg" localSheetId="2" hidden="1">0.0001</definedName>
    <definedName name="solver_cvg" localSheetId="1" hidden="1">0.0001</definedName>
    <definedName name="solver_cvg" localSheetId="3" hidden="1">0.0001</definedName>
    <definedName name="solver_drv" localSheetId="4" hidden="1">2</definedName>
    <definedName name="solver_drv" localSheetId="2" hidden="1">2</definedName>
    <definedName name="solver_drv" localSheetId="1" hidden="1">2</definedName>
    <definedName name="solver_drv" localSheetId="3" hidden="1">1</definedName>
    <definedName name="solver_eng" localSheetId="4" hidden="1">2</definedName>
    <definedName name="solver_eng" localSheetId="2" hidden="1">2</definedName>
    <definedName name="solver_eng" localSheetId="1" hidden="1">2</definedName>
    <definedName name="solver_eng" localSheetId="3" hidden="1">2</definedName>
    <definedName name="solver_est" localSheetId="4" hidden="1">1</definedName>
    <definedName name="solver_est" localSheetId="2" hidden="1">1</definedName>
    <definedName name="solver_est" localSheetId="1" hidden="1">1</definedName>
    <definedName name="solver_est" localSheetId="3" hidden="1">1</definedName>
    <definedName name="solver_itr" localSheetId="4" hidden="1">2147483647</definedName>
    <definedName name="solver_itr" localSheetId="2" hidden="1">2147483647</definedName>
    <definedName name="solver_itr" localSheetId="1" hidden="1">2147483647</definedName>
    <definedName name="solver_itr" localSheetId="3" hidden="1">2147483647</definedName>
    <definedName name="solver_lhs1" localSheetId="4" hidden="1">'Ark5'!$B$15:$M$15</definedName>
    <definedName name="solver_lhs1" localSheetId="2" hidden="1">'Dualle problem'!$F$12:$F$13</definedName>
    <definedName name="solver_lhs1" localSheetId="1" hidden="1">'LP LØSNING'!$C$18:$E$18</definedName>
    <definedName name="solver_lhs1" localSheetId="3" hidden="1">'Nyt produkt'!$F$4:$F$6</definedName>
    <definedName name="solver_lhs2" localSheetId="4" hidden="1">'Ark5'!$N$13</definedName>
    <definedName name="solver_lhs2" localSheetId="1" hidden="1">'LP LØSNING'!$F$15:$F$16</definedName>
    <definedName name="solver_lhs3" localSheetId="4" hidden="1">'Ark5'!$N$2:$N$12</definedName>
    <definedName name="solver_mip" localSheetId="4" hidden="1">2147483647</definedName>
    <definedName name="solver_mip" localSheetId="2" hidden="1">2147483647</definedName>
    <definedName name="solver_mip" localSheetId="1" hidden="1">2147483647</definedName>
    <definedName name="solver_mip" localSheetId="3" hidden="1">2147483647</definedName>
    <definedName name="solver_mni" localSheetId="4" hidden="1">30</definedName>
    <definedName name="solver_mni" localSheetId="2" hidden="1">30</definedName>
    <definedName name="solver_mni" localSheetId="1" hidden="1">30</definedName>
    <definedName name="solver_mni" localSheetId="3" hidden="1">30</definedName>
    <definedName name="solver_mrt" localSheetId="4" hidden="1">0.075</definedName>
    <definedName name="solver_mrt" localSheetId="2" hidden="1">0.075</definedName>
    <definedName name="solver_mrt" localSheetId="1" hidden="1">0.075</definedName>
    <definedName name="solver_mrt" localSheetId="3" hidden="1">0.075</definedName>
    <definedName name="solver_msl" localSheetId="4" hidden="1">2</definedName>
    <definedName name="solver_msl" localSheetId="2" hidden="1">2</definedName>
    <definedName name="solver_msl" localSheetId="1" hidden="1">2</definedName>
    <definedName name="solver_msl" localSheetId="3" hidden="1">2</definedName>
    <definedName name="solver_neg" localSheetId="4" hidden="1">1</definedName>
    <definedName name="solver_neg" localSheetId="2" hidden="1">1</definedName>
    <definedName name="solver_neg" localSheetId="1" hidden="1">1</definedName>
    <definedName name="solver_neg" localSheetId="3" hidden="1">1</definedName>
    <definedName name="solver_nod" localSheetId="4" hidden="1">2147483647</definedName>
    <definedName name="solver_nod" localSheetId="2" hidden="1">2147483647</definedName>
    <definedName name="solver_nod" localSheetId="1" hidden="1">2147483647</definedName>
    <definedName name="solver_nod" localSheetId="3" hidden="1">2147483647</definedName>
    <definedName name="solver_num" localSheetId="4" hidden="1">3</definedName>
    <definedName name="solver_num" localSheetId="2" hidden="1">1</definedName>
    <definedName name="solver_num" localSheetId="1" hidden="1">2</definedName>
    <definedName name="solver_num" localSheetId="3" hidden="1">1</definedName>
    <definedName name="solver_nwt" localSheetId="4" hidden="1">1</definedName>
    <definedName name="solver_nwt" localSheetId="2" hidden="1">1</definedName>
    <definedName name="solver_nwt" localSheetId="1" hidden="1">1</definedName>
    <definedName name="solver_nwt" localSheetId="3" hidden="1">1</definedName>
    <definedName name="solver_opt" localSheetId="4" hidden="1">'Ark5'!$N$14</definedName>
    <definedName name="solver_opt" localSheetId="2" hidden="1">'Dualle problem'!$F$14</definedName>
    <definedName name="solver_opt" localSheetId="1" hidden="1">'LP LØSNING'!$E$18</definedName>
    <definedName name="solver_opt" localSheetId="3" hidden="1">'Nyt produkt'!$F$7</definedName>
    <definedName name="solver_pre" localSheetId="4" hidden="1">0.000001</definedName>
    <definedName name="solver_pre" localSheetId="2" hidden="1">0.000001</definedName>
    <definedName name="solver_pre" localSheetId="1" hidden="1">0.000001</definedName>
    <definedName name="solver_pre" localSheetId="3" hidden="1">0.000001</definedName>
    <definedName name="solver_rbv" localSheetId="4" hidden="1">2</definedName>
    <definedName name="solver_rbv" localSheetId="2" hidden="1">2</definedName>
    <definedName name="solver_rbv" localSheetId="1" hidden="1">2</definedName>
    <definedName name="solver_rbv" localSheetId="3" hidden="1">1</definedName>
    <definedName name="solver_rel1" localSheetId="4" hidden="1">5</definedName>
    <definedName name="solver_rel1" localSheetId="2" hidden="1">3</definedName>
    <definedName name="solver_rel1" localSheetId="1" hidden="1">4</definedName>
    <definedName name="solver_rel1" localSheetId="3" hidden="1">1</definedName>
    <definedName name="solver_rel2" localSheetId="4" hidden="1">1</definedName>
    <definedName name="solver_rel2" localSheetId="1" hidden="1">3</definedName>
    <definedName name="solver_rel3" localSheetId="4" hidden="1">3</definedName>
    <definedName name="solver_rhs1" localSheetId="4" hidden="1">"binær"</definedName>
    <definedName name="solver_rhs1" localSheetId="2" hidden="1">'Dualle problem'!$H$12:$H$13</definedName>
    <definedName name="solver_rhs1" localSheetId="1" hidden="1">"heltal"</definedName>
    <definedName name="solver_rhs1" localSheetId="3" hidden="1">'Nyt produkt'!$H$4:$H$6</definedName>
    <definedName name="solver_rhs2" localSheetId="4" hidden="1">'Ark5'!$P$13</definedName>
    <definedName name="solver_rhs2" localSheetId="1" hidden="1">'LP LØSNING'!$H$15:$H$16</definedName>
    <definedName name="solver_rhs3" localSheetId="4" hidden="1">'Ark5'!$P$2:$P$12</definedName>
    <definedName name="solver_rlx" localSheetId="4" hidden="1">2</definedName>
    <definedName name="solver_rlx" localSheetId="2" hidden="1">2</definedName>
    <definedName name="solver_rlx" localSheetId="1" hidden="1">2</definedName>
    <definedName name="solver_rlx" localSheetId="3" hidden="1">2</definedName>
    <definedName name="solver_rsd" localSheetId="4" hidden="1">0</definedName>
    <definedName name="solver_rsd" localSheetId="2" hidden="1">0</definedName>
    <definedName name="solver_rsd" localSheetId="1" hidden="1">0</definedName>
    <definedName name="solver_rsd" localSheetId="3" hidden="1">0</definedName>
    <definedName name="solver_scl" localSheetId="4" hidden="1">2</definedName>
    <definedName name="solver_scl" localSheetId="2" hidden="1">2</definedName>
    <definedName name="solver_scl" localSheetId="1" hidden="1">2</definedName>
    <definedName name="solver_scl" localSheetId="3" hidden="1">1</definedName>
    <definedName name="solver_sho" localSheetId="4" hidden="1">2</definedName>
    <definedName name="solver_sho" localSheetId="2" hidden="1">2</definedName>
    <definedName name="solver_sho" localSheetId="1" hidden="1">2</definedName>
    <definedName name="solver_sho" localSheetId="3" hidden="1">2</definedName>
    <definedName name="solver_ssz" localSheetId="4" hidden="1">100</definedName>
    <definedName name="solver_ssz" localSheetId="2" hidden="1">100</definedName>
    <definedName name="solver_ssz" localSheetId="1" hidden="1">100</definedName>
    <definedName name="solver_ssz" localSheetId="3" hidden="1">100</definedName>
    <definedName name="solver_tim" localSheetId="4" hidden="1">2147483647</definedName>
    <definedName name="solver_tim" localSheetId="2" hidden="1">2147483647</definedName>
    <definedName name="solver_tim" localSheetId="1" hidden="1">2147483647</definedName>
    <definedName name="solver_tim" localSheetId="3" hidden="1">2147483647</definedName>
    <definedName name="solver_tol" localSheetId="4" hidden="1">0.01</definedName>
    <definedName name="solver_tol" localSheetId="2" hidden="1">0.01</definedName>
    <definedName name="solver_tol" localSheetId="1" hidden="1">0.01</definedName>
    <definedName name="solver_tol" localSheetId="3" hidden="1">0.01</definedName>
    <definedName name="solver_typ" localSheetId="4" hidden="1">2</definedName>
    <definedName name="solver_typ" localSheetId="2" hidden="1">2</definedName>
    <definedName name="solver_typ" localSheetId="1" hidden="1">2</definedName>
    <definedName name="solver_typ" localSheetId="3" hidden="1">1</definedName>
    <definedName name="solver_val" localSheetId="4" hidden="1">0</definedName>
    <definedName name="solver_val" localSheetId="2" hidden="1">0</definedName>
    <definedName name="solver_val" localSheetId="1" hidden="1">0</definedName>
    <definedName name="solver_val" localSheetId="3" hidden="1">0</definedName>
    <definedName name="solver_ver" localSheetId="4" hidden="1">3</definedName>
    <definedName name="solver_ver" localSheetId="2" hidden="1">3</definedName>
    <definedName name="solver_ver" localSheetId="1" hidden="1">3</definedName>
    <definedName name="solver_ver" localSheetId="3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7" i="1"/>
  <c r="I21" i="8"/>
  <c r="I22" i="8"/>
  <c r="I23" i="8"/>
  <c r="I24" i="8"/>
  <c r="I25" i="8"/>
  <c r="I20" i="8"/>
  <c r="G25" i="8"/>
  <c r="G24" i="8"/>
  <c r="F24" i="8"/>
  <c r="F25" i="8"/>
  <c r="F23" i="8"/>
  <c r="E25" i="8"/>
  <c r="E24" i="8"/>
  <c r="E23" i="8"/>
  <c r="E22" i="8"/>
  <c r="D25" i="8"/>
  <c r="D24" i="8"/>
  <c r="D23" i="8"/>
  <c r="D22" i="8"/>
  <c r="I13" i="8"/>
  <c r="I14" i="8"/>
  <c r="I15" i="8"/>
  <c r="I16" i="8"/>
  <c r="I17" i="8"/>
  <c r="I12" i="8"/>
  <c r="H17" i="8"/>
  <c r="G17" i="8"/>
  <c r="G16" i="8"/>
  <c r="F17" i="8"/>
  <c r="F16" i="8"/>
  <c r="F15" i="8"/>
  <c r="E17" i="8"/>
  <c r="E15" i="8"/>
  <c r="E16" i="8"/>
  <c r="E14" i="8"/>
  <c r="D17" i="8"/>
  <c r="D16" i="8"/>
  <c r="D15" i="8"/>
  <c r="D14" i="8"/>
  <c r="D13" i="8"/>
  <c r="N14" i="7"/>
  <c r="N3" i="7"/>
  <c r="N4" i="7"/>
  <c r="N5" i="7"/>
  <c r="N6" i="7"/>
  <c r="N7" i="7"/>
  <c r="N8" i="7"/>
  <c r="N9" i="7"/>
  <c r="N10" i="7"/>
  <c r="N11" i="7"/>
  <c r="N12" i="7"/>
  <c r="N13" i="7"/>
  <c r="N2" i="7"/>
  <c r="F7" i="6"/>
  <c r="F5" i="6"/>
  <c r="F6" i="6"/>
  <c r="F4" i="6"/>
  <c r="F14" i="5"/>
  <c r="F12" i="5"/>
  <c r="F13" i="5"/>
  <c r="E7" i="5"/>
  <c r="E6" i="5"/>
  <c r="E5" i="5"/>
  <c r="E4" i="5"/>
  <c r="E7" i="1"/>
  <c r="E5" i="1"/>
  <c r="E6" i="1"/>
  <c r="E4" i="1"/>
  <c r="XFD1048550" i="1" a="1"/>
  <c r="XFD1048550" i="1" s="1"/>
  <c r="XFD1048551" i="1" a="1"/>
  <c r="XFD1048551" i="1" s="1"/>
  <c r="XFD1048552" i="1" a="1"/>
  <c r="XFD1048552" i="1" s="1"/>
  <c r="XFD1048553" i="1" a="1"/>
  <c r="XFD1048553" i="1" s="1"/>
  <c r="XFD1048554" i="1" a="1"/>
  <c r="XFD1048554" i="1" s="1"/>
  <c r="XFD1048555" i="1" a="1"/>
  <c r="XFD1048555" i="1" s="1"/>
  <c r="XFD1048556" i="1" a="1"/>
  <c r="XFD1048556" i="1" s="1"/>
  <c r="XFD1048557" i="1" a="1"/>
  <c r="XFD1048557" i="1" s="1"/>
  <c r="XFD1048558" i="1" a="1"/>
  <c r="XFD1048558" i="1" s="1"/>
  <c r="XFD1048559" i="1" a="1"/>
  <c r="XFD1048559" i="1" s="1"/>
  <c r="XFD1048560" i="1" a="1"/>
  <c r="XFD1048560" i="1" s="1"/>
  <c r="XFD1048561" i="1" a="1"/>
  <c r="XFD1048561" i="1" s="1"/>
  <c r="XFD1048562" i="1" a="1"/>
  <c r="XFD1048562" i="1" s="1"/>
  <c r="XFD1048563" i="1" a="1"/>
  <c r="XFD1048563" i="1" s="1"/>
  <c r="XFD1048564" i="1" a="1"/>
  <c r="XFD1048564" i="1" s="1"/>
  <c r="XFD1048565" i="1" a="1"/>
  <c r="XFD1048565" i="1" s="1"/>
  <c r="XFD1048566" i="1" a="1"/>
  <c r="XFD1048566" i="1" s="1"/>
  <c r="XFD1048567" i="1" a="1"/>
  <c r="XFD1048567" i="1" s="1"/>
  <c r="XFD1048568" i="1" a="1"/>
  <c r="XFD1048568" i="1" s="1"/>
  <c r="XFD1048569" i="1" a="1"/>
  <c r="XFD1048569" i="1" s="1"/>
  <c r="XFD1048570" i="1" a="1"/>
  <c r="XFD1048570" i="1" s="1"/>
  <c r="XFD1048571" i="1" a="1"/>
  <c r="XFD1048571" i="1" s="1"/>
  <c r="XFD1048572" i="1" a="1"/>
  <c r="XFD1048572" i="1" s="1"/>
  <c r="XFD1048573" i="1" a="1"/>
  <c r="XFD1048573" i="1" s="1"/>
  <c r="XFD1048574" i="1" a="1"/>
  <c r="XFD1048574" i="1" s="1"/>
  <c r="XFD1048575" i="1" a="1"/>
  <c r="XFD104857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<sst xmlns="http://schemas.openxmlformats.org/spreadsheetml/2006/main" count="111" uniqueCount="60">
  <si>
    <t>Maximize</t>
  </si>
  <si>
    <t xml:space="preserve">Z=3x_1+5x_2 </t>
  </si>
  <si>
    <t>x_1&lt;=4</t>
  </si>
  <si>
    <t>2x^2 &lt;=12</t>
  </si>
  <si>
    <t>3x^_1+2x_2&lt;=18</t>
  </si>
  <si>
    <t>Produkt</t>
  </si>
  <si>
    <t>Maskine</t>
  </si>
  <si>
    <t>Løsning</t>
  </si>
  <si>
    <t>&lt;=</t>
  </si>
  <si>
    <t>Microsoft Excel 16.0 Følsomhedsrapport</t>
  </si>
  <si>
    <t>Regneark: [Mappe1]Ark1</t>
  </si>
  <si>
    <t>Rapport oprettet: 15-01-2024 00:17:39</t>
  </si>
  <si>
    <t>Variable celler</t>
  </si>
  <si>
    <t>Celle</t>
  </si>
  <si>
    <t>Navn</t>
  </si>
  <si>
    <t>Sidste</t>
  </si>
  <si>
    <t>Værdi</t>
  </si>
  <si>
    <t>Reduceret</t>
  </si>
  <si>
    <t>Omkostning</t>
  </si>
  <si>
    <t>Målsætning</t>
  </si>
  <si>
    <t>Koefficient</t>
  </si>
  <si>
    <t>Tilladt</t>
  </si>
  <si>
    <t>Forøg</t>
  </si>
  <si>
    <t>Formindsk</t>
  </si>
  <si>
    <t>Begrænsninger</t>
  </si>
  <si>
    <t>Skygge</t>
  </si>
  <si>
    <t>Pris</t>
  </si>
  <si>
    <t>Begrænsning</t>
  </si>
  <si>
    <t>R.H.-side</t>
  </si>
  <si>
    <t>$C$8</t>
  </si>
  <si>
    <t>Løsning Produkt</t>
  </si>
  <si>
    <t>$D$8</t>
  </si>
  <si>
    <t>$E$4</t>
  </si>
  <si>
    <t>$E$5</t>
  </si>
  <si>
    <t>$E$6</t>
  </si>
  <si>
    <t>Monetær koefficient</t>
  </si>
  <si>
    <t>&gt;=</t>
  </si>
  <si>
    <t>Maskine 1</t>
  </si>
  <si>
    <t>Maskine 3</t>
  </si>
  <si>
    <t>Maskine 2</t>
  </si>
  <si>
    <t>8 Fod</t>
  </si>
  <si>
    <t>4x6 fod</t>
  </si>
  <si>
    <t>5x2 fod</t>
  </si>
  <si>
    <t>Vi ved at hvis vi skal have et nyt produkt der bruger 3 ved maskine 2 og 1 ved maskine 3. Så skal prisen fra skyggepriserne være 3*1.5 og 1*1</t>
  </si>
  <si>
    <t>total</t>
  </si>
  <si>
    <t>Mandskab i alt</t>
  </si>
  <si>
    <t>s3</t>
  </si>
  <si>
    <t>f3(s3)</t>
  </si>
  <si>
    <t>x_3</t>
  </si>
  <si>
    <t>n=3</t>
  </si>
  <si>
    <t>s2/x2</t>
  </si>
  <si>
    <t>f_2(s_2)</t>
  </si>
  <si>
    <t>x^*_2</t>
  </si>
  <si>
    <t>n=2</t>
  </si>
  <si>
    <t>0 eller 1</t>
  </si>
  <si>
    <t>f_1(s_1)</t>
  </si>
  <si>
    <t>x^*_1</t>
  </si>
  <si>
    <t>s1/x1</t>
  </si>
  <si>
    <t>1,2,3</t>
  </si>
  <si>
    <t>løsning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</si>
</sst>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68E52F-19F9-462A-B8BF-38B67E46C8CD}">
  <we:reference id="wa104100404" version="3.0.0.1" store="da-DK" storeType="OMEX"/>
  <we:alternateReferences>
    <we:reference id="WA104100404" version="3.0.0.1" store="WA104100404" storeType="OMEX"/>
  </we:alternateReferences>
  <we:properties>
    <we:property name="CDRcRRAYDEt4JVg=" value="&quot;eA==&quot;"/>
    <we:property name="CDRcRRAaD1k=" value="&quot;&quot;"/>
    <we:property name="CDRcRRAmAl9DKUQ3KB9V" value="&quot;eWgHRAFlXQI=&quot;"/>
    <we:property name="CDRcRRAmAl9DKUQ3Kg9G" value="&quot;eA==&quot;"/>
    <we:property name="CDRcRRAmAl9DKUQ3KgFI" value="&quot;eQ==&quot;"/>
    <we:property name="CDRcRRAmAl9DKUQ3KghD" value="&quot;fA==&quot;"/>
    <we:property name="CDRcRRAmAl9DKUQ3Kh5U" value="&quot;eQ==&quot;"/>
    <we:property name="CDRcRRAmAl9DKUQ3Kw5c" value="&quot;eA==&quot;"/>
    <we:property name="CDRcRRAmAl9DKUQ3KwJT" value="&quot;eQ==&quot;"/>
    <we:property name="CDRcRRAmAl9DKUQ3Kx5K" value="&quot;eHYH&quot;"/>
    <we:property name="CDRcRRAmAl9DKUQ3KxlR" value="&quot;eQ==&quot;"/>
    <we:property name="CDRcRRAmAl9DKUQ3LAJc" value="&quot;eWgHRQ==&quot;"/>
    <we:property name="CDRcRRAmAl9DKUQ3MR1D" value="&quot;eWgOTQ==&quot;"/>
    <we:property name="CDRcRRAmAl9DKUQ3MR1U" value="&quot;eg==&quot;"/>
    <we:property name="CDRcRRAmAl9DKUQ3MR1Z" value="&quot;eA==&quot;"/>
    <we:property name="CDRcRRAmAl9DKUQ3NB1A" value="&quot;eQ==&quot;"/>
    <we:property name="CDRcRRAmAl9DKUQ3NB1E" value="&quot;eQ==&quot;"/>
    <we:property name="CDRcRRAmAl9DKUQ3NQNZ" value="&quot;enY=&quot;"/>
    <we:property name="CDRcRRAmAl9DKUQ3NQhE" value="&quot;ew==&quot;"/>
    <we:property name="CDRcRRAmAl9DKUQ3NR5c" value="&quot;eQ==&quot;"/>
    <we:property name="CDRcRRAmAl9DKUQ3NR9E" value="&quot;eWgHQwQ=&quot;"/>
    <we:property name="CDRcRRAmAl9DKUQ3NghX" value="&quot;eA==&quot;"/>
    <we:property name="CDRcRRAmAl9DKUQ3NhlC" value="&quot;ew==&quot;"/>
    <we:property name="CDRcRRAmAl9DKUQ3OQ5T" value="&quot;eWgHRAA=&quot;"/>
    <we:property name="CDRcRRAmAl9DKUQ3OR9D" value="&quot;eA==&quot;"/>
    <we:property name="CDRcRRAmAl9DKUQ3OxtX" value="&quot;eWgHRAFk&quot;"/>
    <we:property name="CDRcRRAmAl9DKUQ3PQNX" value="&quot;DhRw&quot;"/>
    <we:property name="CDRcRRAmAl9DKUQ3PghR" value="&quot;eWgHRAFlXQI=&quot;"/>
    <we:property name="CDRcRRAmAl9DKUQ3PwxA" value="&quot;eWgHRAFlXQI=&quot;"/>
    <we:property name="UniqueID" value="&quot;20240151705273675674&quot;"/>
  </we:properties>
  <we:bindings>
    <we:binding id="refEdit" type="matrix" appref="{707F2952-E139-4247-BEF7-718E3CC2DA84}"/>
    <we:binding id="Worker" type="matrix" appref="{85F9CC60-B452-419C-B08F-29384066FFD8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3EEC-D568-4692-A2B3-1B1116CD6C8C}">
  <dimension ref="A1:H17"/>
  <sheetViews>
    <sheetView showGridLines="0" workbookViewId="0">
      <selection activeCell="F13" sqref="F13"/>
    </sheetView>
  </sheetViews>
  <sheetFormatPr defaultRowHeight="15" x14ac:dyDescent="0.25"/>
  <cols>
    <col min="1" max="1" width="2.28515625" customWidth="1"/>
    <col min="2" max="2" width="5.85546875" bestFit="1" customWidth="1"/>
    <col min="3" max="3" width="15.42578125" bestFit="1" customWidth="1"/>
    <col min="4" max="4" width="6.7109375" bestFit="1" customWidth="1"/>
    <col min="5" max="5" width="11.85546875" bestFit="1" customWidth="1"/>
    <col min="6" max="6" width="12.7109375" bestFit="1" customWidth="1"/>
    <col min="7" max="7" width="6.5703125" bestFit="1" customWidth="1"/>
    <col min="8" max="8" width="10.42578125" bestFit="1" customWidth="1"/>
  </cols>
  <sheetData>
    <row r="1" spans="1:8" x14ac:dyDescent="0.25">
      <c r="A1" s="2" t="s">
        <v>9</v>
      </c>
    </row>
    <row r="2" spans="1:8" x14ac:dyDescent="0.25">
      <c r="A2" s="2" t="s">
        <v>10</v>
      </c>
    </row>
    <row r="3" spans="1:8" x14ac:dyDescent="0.25">
      <c r="A3" s="2" t="s">
        <v>11</v>
      </c>
    </row>
    <row r="6" spans="1:8" ht="15.75" thickBot="1" x14ac:dyDescent="0.3">
      <c r="A6" t="s">
        <v>12</v>
      </c>
    </row>
    <row r="7" spans="1:8" x14ac:dyDescent="0.25">
      <c r="B7" s="5"/>
      <c r="C7" s="5"/>
      <c r="D7" s="5" t="s">
        <v>15</v>
      </c>
      <c r="E7" s="5" t="s">
        <v>17</v>
      </c>
      <c r="F7" s="5" t="s">
        <v>19</v>
      </c>
      <c r="G7" s="5" t="s">
        <v>21</v>
      </c>
      <c r="H7" s="5" t="s">
        <v>21</v>
      </c>
    </row>
    <row r="8" spans="1:8" ht="15.75" thickBot="1" x14ac:dyDescent="0.3">
      <c r="B8" s="6" t="s">
        <v>13</v>
      </c>
      <c r="C8" s="6" t="s">
        <v>14</v>
      </c>
      <c r="D8" s="6" t="s">
        <v>16</v>
      </c>
      <c r="E8" s="6" t="s">
        <v>18</v>
      </c>
      <c r="F8" s="6" t="s">
        <v>20</v>
      </c>
      <c r="G8" s="6" t="s">
        <v>22</v>
      </c>
      <c r="H8" s="6" t="s">
        <v>23</v>
      </c>
    </row>
    <row r="9" spans="1:8" x14ac:dyDescent="0.25">
      <c r="B9" s="3" t="s">
        <v>29</v>
      </c>
      <c r="C9" s="3" t="s">
        <v>30</v>
      </c>
      <c r="D9" s="3">
        <v>2</v>
      </c>
      <c r="E9" s="3">
        <v>0</v>
      </c>
      <c r="F9" s="3">
        <v>3000</v>
      </c>
      <c r="G9" s="3">
        <v>4500</v>
      </c>
      <c r="H9" s="3">
        <v>3000</v>
      </c>
    </row>
    <row r="10" spans="1:8" ht="15.75" thickBot="1" x14ac:dyDescent="0.3">
      <c r="B10" s="4" t="s">
        <v>31</v>
      </c>
      <c r="C10" s="4" t="s">
        <v>7</v>
      </c>
      <c r="D10" s="4">
        <v>6</v>
      </c>
      <c r="E10" s="4">
        <v>0</v>
      </c>
      <c r="F10" s="4">
        <v>5000</v>
      </c>
      <c r="G10" s="4">
        <v>1E+30</v>
      </c>
      <c r="H10" s="4">
        <v>3000</v>
      </c>
    </row>
    <row r="12" spans="1:8" ht="15.75" thickBot="1" x14ac:dyDescent="0.3">
      <c r="A12" t="s">
        <v>24</v>
      </c>
    </row>
    <row r="13" spans="1:8" x14ac:dyDescent="0.25">
      <c r="B13" s="5"/>
      <c r="C13" s="5"/>
      <c r="D13" s="5" t="s">
        <v>15</v>
      </c>
      <c r="E13" s="5" t="s">
        <v>25</v>
      </c>
      <c r="F13" s="5" t="s">
        <v>27</v>
      </c>
      <c r="G13" s="5" t="s">
        <v>21</v>
      </c>
      <c r="H13" s="5" t="s">
        <v>21</v>
      </c>
    </row>
    <row r="14" spans="1:8" ht="15.75" thickBot="1" x14ac:dyDescent="0.3">
      <c r="B14" s="6" t="s">
        <v>13</v>
      </c>
      <c r="C14" s="6" t="s">
        <v>14</v>
      </c>
      <c r="D14" s="6" t="s">
        <v>16</v>
      </c>
      <c r="E14" s="6" t="s">
        <v>26</v>
      </c>
      <c r="F14" s="6" t="s">
        <v>28</v>
      </c>
      <c r="G14" s="6" t="s">
        <v>22</v>
      </c>
      <c r="H14" s="6" t="s">
        <v>23</v>
      </c>
    </row>
    <row r="15" spans="1:8" x14ac:dyDescent="0.25">
      <c r="B15" s="3" t="s">
        <v>32</v>
      </c>
      <c r="C15" s="3" t="s">
        <v>7</v>
      </c>
      <c r="D15" s="3">
        <v>2</v>
      </c>
      <c r="E15" s="3">
        <v>0</v>
      </c>
      <c r="F15" s="3">
        <v>4</v>
      </c>
      <c r="G15" s="3">
        <v>1E+30</v>
      </c>
      <c r="H15" s="3">
        <v>2</v>
      </c>
    </row>
    <row r="16" spans="1:8" x14ac:dyDescent="0.25">
      <c r="B16" s="3" t="s">
        <v>33</v>
      </c>
      <c r="C16" s="3" t="s">
        <v>7</v>
      </c>
      <c r="D16" s="3">
        <v>12</v>
      </c>
      <c r="E16" s="3">
        <v>1500</v>
      </c>
      <c r="F16" s="3">
        <v>12</v>
      </c>
      <c r="G16" s="3">
        <v>6</v>
      </c>
      <c r="H16" s="3">
        <v>6</v>
      </c>
    </row>
    <row r="17" spans="2:8" ht="15.75" thickBot="1" x14ac:dyDescent="0.3">
      <c r="B17" s="4" t="s">
        <v>34</v>
      </c>
      <c r="C17" s="4" t="s">
        <v>7</v>
      </c>
      <c r="D17" s="4">
        <v>18</v>
      </c>
      <c r="E17" s="4">
        <v>1000</v>
      </c>
      <c r="F17" s="4">
        <v>18</v>
      </c>
      <c r="G17" s="4">
        <v>6</v>
      </c>
      <c r="H17" s="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214E-1AD8-46D0-BE00-8AA4B13BA62F}">
  <dimension ref="B2:XFD1048575"/>
  <sheetViews>
    <sheetView workbookViewId="0">
      <selection activeCell="F18" sqref="F18"/>
    </sheetView>
  </sheetViews>
  <sheetFormatPr defaultRowHeight="15" x14ac:dyDescent="0.25"/>
  <sheetData>
    <row r="2" spans="2:14" x14ac:dyDescent="0.25">
      <c r="C2" s="7" t="s">
        <v>5</v>
      </c>
      <c r="D2" s="7"/>
      <c r="L2" t="s">
        <v>0</v>
      </c>
      <c r="M2" t="s">
        <v>1</v>
      </c>
    </row>
    <row r="3" spans="2:14" x14ac:dyDescent="0.25">
      <c r="B3" t="s">
        <v>6</v>
      </c>
      <c r="E3" t="s">
        <v>7</v>
      </c>
    </row>
    <row r="4" spans="2:14" x14ac:dyDescent="0.25">
      <c r="C4">
        <v>1</v>
      </c>
      <c r="D4">
        <v>0</v>
      </c>
      <c r="E4">
        <f>SUMPRODUCT(C4:D4,$C$8:$D$8)</f>
        <v>2</v>
      </c>
      <c r="F4" t="s">
        <v>8</v>
      </c>
      <c r="G4">
        <v>4</v>
      </c>
      <c r="L4" t="s">
        <v>2</v>
      </c>
      <c r="N4" t="s">
        <v>3</v>
      </c>
    </row>
    <row r="5" spans="2:14" x14ac:dyDescent="0.25">
      <c r="C5">
        <v>0</v>
      </c>
      <c r="D5">
        <v>2</v>
      </c>
      <c r="E5">
        <f t="shared" ref="E5:E7" si="0">SUMPRODUCT(C5:D5,$C$8:$D$8)</f>
        <v>12</v>
      </c>
      <c r="F5" t="s">
        <v>8</v>
      </c>
      <c r="G5">
        <v>12</v>
      </c>
      <c r="L5" t="s">
        <v>4</v>
      </c>
    </row>
    <row r="6" spans="2:14" x14ac:dyDescent="0.25">
      <c r="C6">
        <v>3</v>
      </c>
      <c r="D6">
        <v>2</v>
      </c>
      <c r="E6">
        <f t="shared" si="0"/>
        <v>18</v>
      </c>
      <c r="F6" t="s">
        <v>8</v>
      </c>
      <c r="G6">
        <v>18</v>
      </c>
    </row>
    <row r="7" spans="2:14" x14ac:dyDescent="0.25">
      <c r="C7">
        <v>3</v>
      </c>
      <c r="D7">
        <v>5</v>
      </c>
      <c r="E7">
        <f t="shared" si="0"/>
        <v>36</v>
      </c>
    </row>
    <row r="8" spans="2:14" x14ac:dyDescent="0.25">
      <c r="B8" t="s">
        <v>7</v>
      </c>
      <c r="C8">
        <v>2</v>
      </c>
      <c r="D8">
        <v>6</v>
      </c>
    </row>
    <row r="14" spans="2:14" x14ac:dyDescent="0.25">
      <c r="F14" t="s">
        <v>59</v>
      </c>
    </row>
    <row r="15" spans="2:14" x14ac:dyDescent="0.25">
      <c r="C15">
        <v>1</v>
      </c>
      <c r="D15">
        <v>0</v>
      </c>
      <c r="E15">
        <v>3</v>
      </c>
      <c r="F15">
        <f>SUMPRODUCT(C15:E15,C18:E18)</f>
        <v>3</v>
      </c>
      <c r="G15" t="s">
        <v>36</v>
      </c>
      <c r="H15">
        <v>3</v>
      </c>
    </row>
    <row r="16" spans="2:14" x14ac:dyDescent="0.25">
      <c r="C16">
        <v>0</v>
      </c>
      <c r="D16">
        <v>2</v>
      </c>
      <c r="E16">
        <v>2</v>
      </c>
      <c r="F16">
        <f>SUMPRODUCT(C16:E16,C18:E18)</f>
        <v>6</v>
      </c>
      <c r="G16" t="s">
        <v>36</v>
      </c>
      <c r="H16">
        <v>5</v>
      </c>
    </row>
    <row r="17" spans="2:6" x14ac:dyDescent="0.25">
      <c r="C17">
        <v>4</v>
      </c>
      <c r="D17">
        <v>12</v>
      </c>
      <c r="E17">
        <v>18</v>
      </c>
      <c r="F17">
        <f>SUMPRODUCT(C17:E17,C18:E18)</f>
        <v>48</v>
      </c>
    </row>
    <row r="18" spans="2:6" x14ac:dyDescent="0.25">
      <c r="B18" t="s">
        <v>59</v>
      </c>
      <c r="C18">
        <v>3</v>
      </c>
      <c r="D18">
        <v>3</v>
      </c>
      <c r="E18">
        <v>0</v>
      </c>
    </row>
    <row r="1048550" spans="16384:16384" x14ac:dyDescent="0.25">
      <c r="XFD1048550" cm="1">
        <f t="array" ref="XFD1048550">solver_pre</f>
        <v>9.9999999999999995E-7</v>
      </c>
    </row>
    <row r="1048551" spans="16384:16384" x14ac:dyDescent="0.25">
      <c r="XFD1048551" cm="1">
        <f t="array" ref="XFD1048551">solver_scl</f>
        <v>2</v>
      </c>
    </row>
    <row r="1048552" spans="16384:16384" x14ac:dyDescent="0.25">
      <c r="XFD1048552" cm="1">
        <f t="array" ref="XFD1048552">solver_rlx</f>
        <v>2</v>
      </c>
    </row>
    <row r="1048553" spans="16384:16384" x14ac:dyDescent="0.25">
      <c r="XFD1048553" cm="1">
        <f t="array" ref="XFD1048553">solver_tol</f>
        <v>0.01</v>
      </c>
    </row>
    <row r="1048554" spans="16384:16384" x14ac:dyDescent="0.25">
      <c r="XFD1048554" cm="1">
        <f t="array" ref="XFD1048554">solver_cvg</f>
        <v>1E-4</v>
      </c>
    </row>
    <row r="1048555" spans="16384:16384" x14ac:dyDescent="0.25">
      <c r="XFD1048555" t="e" cm="1">
        <f t="array" aca="1" ref="XFD1048555" ca="1">_xludf.Areas(solver_adj1)</f>
        <v>#NAME?</v>
      </c>
    </row>
    <row r="1048556" spans="16384:16384" x14ac:dyDescent="0.25">
      <c r="XFD1048556" cm="1">
        <f t="array" ref="XFD1048556">solver_ssz</f>
        <v>100</v>
      </c>
    </row>
    <row r="1048557" spans="16384:16384" x14ac:dyDescent="0.25">
      <c r="XFD1048557" cm="1">
        <f t="array" ref="XFD1048557">solver_rsd</f>
        <v>0</v>
      </c>
    </row>
    <row r="1048558" spans="16384:16384" x14ac:dyDescent="0.25">
      <c r="XFD1048558" cm="1">
        <f t="array" ref="XFD1048558">solver_mrt</f>
        <v>7.4999999999999997E-2</v>
      </c>
    </row>
    <row r="1048559" spans="16384:16384" x14ac:dyDescent="0.25">
      <c r="XFD1048559" cm="1">
        <f t="array" ref="XFD1048559">solver_mni</f>
        <v>30</v>
      </c>
    </row>
    <row r="1048560" spans="16384:16384" x14ac:dyDescent="0.25">
      <c r="XFD1048560" cm="1">
        <f t="array" ref="XFD1048560">solver_rbv</f>
        <v>2</v>
      </c>
    </row>
    <row r="1048561" spans="16384:16384" x14ac:dyDescent="0.25">
      <c r="XFD1048561" cm="1">
        <f t="array" ref="XFD1048561">solver_neg</f>
        <v>1</v>
      </c>
    </row>
    <row r="1048562" spans="16384:16384" x14ac:dyDescent="0.25">
      <c r="XFD1048562" t="e" cm="1">
        <f t="array" ref="XFD1048562">solver_ntr</f>
        <v>#NAME?</v>
      </c>
    </row>
    <row r="1048563" spans="16384:16384" x14ac:dyDescent="0.25">
      <c r="XFD1048563" t="e" cm="1">
        <f t="array" ref="XFD1048563">solver_acc</f>
        <v>#NAME?</v>
      </c>
    </row>
    <row r="1048564" spans="16384:16384" x14ac:dyDescent="0.25">
      <c r="XFD1048564" t="e" cm="1">
        <f t="array" ref="XFD1048564">solver_res</f>
        <v>#NAME?</v>
      </c>
    </row>
    <row r="1048565" spans="16384:16384" x14ac:dyDescent="0.25">
      <c r="XFD1048565" t="e" cm="1">
        <f t="array" ref="XFD1048565">solver_ars</f>
        <v>#NAME?</v>
      </c>
    </row>
    <row r="1048566" spans="16384:16384" x14ac:dyDescent="0.25">
      <c r="XFD1048566" t="e" cm="1">
        <f t="array" ref="XFD1048566">solver_sta</f>
        <v>#NAME?</v>
      </c>
    </row>
    <row r="1048567" spans="16384:16384" x14ac:dyDescent="0.25">
      <c r="XFD1048567" t="e" cm="1">
        <f t="array" ref="XFD1048567">solver_met</f>
        <v>#NAME?</v>
      </c>
    </row>
    <row r="1048568" spans="16384:16384" x14ac:dyDescent="0.25">
      <c r="XFD1048568" t="e" cm="1">
        <f t="array" ref="XFD1048568">solver_soc</f>
        <v>#NAME?</v>
      </c>
    </row>
    <row r="1048569" spans="16384:16384" x14ac:dyDescent="0.25">
      <c r="XFD1048569" t="e" cm="1">
        <f t="array" ref="XFD1048569">solver_lpt</f>
        <v>#NAME?</v>
      </c>
    </row>
    <row r="1048570" spans="16384:16384" x14ac:dyDescent="0.25">
      <c r="XFD1048570" t="e" cm="1">
        <f t="array" ref="XFD1048570">solver_lpp</f>
        <v>#NAME?</v>
      </c>
    </row>
    <row r="1048571" spans="16384:16384" x14ac:dyDescent="0.25">
      <c r="XFD1048571" t="e" cm="1">
        <f t="array" ref="XFD1048571">solver_gap</f>
        <v>#NAME?</v>
      </c>
    </row>
    <row r="1048572" spans="16384:16384" x14ac:dyDescent="0.25">
      <c r="XFD1048572" t="e" cm="1">
        <f t="array" ref="XFD1048572">solver_ips</f>
        <v>#NAME?</v>
      </c>
    </row>
    <row r="1048573" spans="16384:16384" x14ac:dyDescent="0.25">
      <c r="XFD1048573" t="e" cm="1">
        <f t="array" ref="XFD1048573">solver_fea</f>
        <v>#NAME?</v>
      </c>
    </row>
    <row r="1048574" spans="16384:16384" x14ac:dyDescent="0.25">
      <c r="XFD1048574" t="e" cm="1">
        <f t="array" ref="XFD1048574">solver_ipi</f>
        <v>#NAME?</v>
      </c>
    </row>
    <row r="1048575" spans="16384:16384" x14ac:dyDescent="0.25">
      <c r="XFD1048575" t="e" cm="1">
        <f t="array" ref="XFD1048575">solver_ipd</f>
        <v>#NAME?</v>
      </c>
    </row>
  </sheetData>
  <mergeCells count="1">
    <mergeCell ref="C2:D2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707F2952-E139-4247-BEF7-718E3CC2DA84}">
          <xm:f>'LP LØSNING'!1:1048576</xm:f>
        </x15:webExtension>
        <x15:webExtension appRef="{85F9CC60-B452-419C-B08F-29384066FFD8}">
          <xm:f>'LP LØSNING'!XFD1048550:XFD1048575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7A10-3708-4F31-B19C-9CF00F49B0C5}">
  <dimension ref="B2:H15"/>
  <sheetViews>
    <sheetView workbookViewId="0">
      <selection activeCell="Q28" sqref="Q28"/>
    </sheetView>
  </sheetViews>
  <sheetFormatPr defaultRowHeight="15" x14ac:dyDescent="0.25"/>
  <cols>
    <col min="2" max="2" width="19" customWidth="1"/>
  </cols>
  <sheetData>
    <row r="2" spans="2:8" x14ac:dyDescent="0.25">
      <c r="C2" s="7" t="s">
        <v>5</v>
      </c>
      <c r="D2" s="7"/>
    </row>
    <row r="3" spans="2:8" x14ac:dyDescent="0.25">
      <c r="B3" t="s">
        <v>6</v>
      </c>
      <c r="E3" t="s">
        <v>7</v>
      </c>
    </row>
    <row r="4" spans="2:8" x14ac:dyDescent="0.25">
      <c r="C4">
        <v>1</v>
      </c>
      <c r="D4">
        <v>0</v>
      </c>
      <c r="E4">
        <f>SUMPRODUCT(C4:D4,$C$8:$D$8)</f>
        <v>0</v>
      </c>
      <c r="F4" t="s">
        <v>8</v>
      </c>
      <c r="G4">
        <v>4</v>
      </c>
    </row>
    <row r="5" spans="2:8" x14ac:dyDescent="0.25">
      <c r="C5">
        <v>0</v>
      </c>
      <c r="D5">
        <v>2</v>
      </c>
      <c r="E5">
        <f t="shared" ref="E5:E7" si="0">SUMPRODUCT(C5:D5,$C$8:$D$8)</f>
        <v>0</v>
      </c>
      <c r="F5" t="s">
        <v>8</v>
      </c>
      <c r="G5">
        <v>12</v>
      </c>
    </row>
    <row r="6" spans="2:8" x14ac:dyDescent="0.25">
      <c r="C6">
        <v>3</v>
      </c>
      <c r="D6">
        <v>2</v>
      </c>
      <c r="E6">
        <f t="shared" si="0"/>
        <v>0</v>
      </c>
      <c r="F6" t="s">
        <v>8</v>
      </c>
      <c r="G6">
        <v>18</v>
      </c>
    </row>
    <row r="7" spans="2:8" x14ac:dyDescent="0.25">
      <c r="B7" t="s">
        <v>35</v>
      </c>
      <c r="C7">
        <v>3</v>
      </c>
      <c r="D7">
        <v>5</v>
      </c>
      <c r="E7">
        <f t="shared" si="0"/>
        <v>0</v>
      </c>
    </row>
    <row r="8" spans="2:8" x14ac:dyDescent="0.25">
      <c r="B8" t="s">
        <v>7</v>
      </c>
      <c r="C8">
        <v>0</v>
      </c>
      <c r="D8">
        <v>0</v>
      </c>
    </row>
    <row r="12" spans="2:8" x14ac:dyDescent="0.25">
      <c r="C12">
        <v>1</v>
      </c>
      <c r="D12">
        <v>0</v>
      </c>
      <c r="E12">
        <v>3</v>
      </c>
      <c r="F12">
        <f>SUMPRODUCT(C12:E12,$C$15:$E$15)</f>
        <v>3</v>
      </c>
      <c r="G12" t="s">
        <v>36</v>
      </c>
      <c r="H12">
        <v>3</v>
      </c>
    </row>
    <row r="13" spans="2:8" x14ac:dyDescent="0.25">
      <c r="C13">
        <v>0</v>
      </c>
      <c r="D13">
        <v>2</v>
      </c>
      <c r="E13">
        <v>2</v>
      </c>
      <c r="F13">
        <f>SUMPRODUCT(C13:E13,$C$15:$E$15)</f>
        <v>5</v>
      </c>
      <c r="G13" t="s">
        <v>36</v>
      </c>
      <c r="H13">
        <v>5</v>
      </c>
    </row>
    <row r="14" spans="2:8" x14ac:dyDescent="0.25">
      <c r="B14" t="s">
        <v>35</v>
      </c>
      <c r="C14">
        <v>4</v>
      </c>
      <c r="D14">
        <v>12</v>
      </c>
      <c r="E14">
        <v>18</v>
      </c>
      <c r="F14">
        <f>SUMPRODUCT(C14:E14,$C$15:$E$15)</f>
        <v>36</v>
      </c>
    </row>
    <row r="15" spans="2:8" x14ac:dyDescent="0.25">
      <c r="B15" t="s">
        <v>7</v>
      </c>
      <c r="C15">
        <v>0</v>
      </c>
      <c r="D15">
        <v>1.5</v>
      </c>
      <c r="E15">
        <v>1</v>
      </c>
    </row>
  </sheetData>
  <mergeCells count="1"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D874-60D2-4FB3-B787-34F6E448E4EA}">
  <dimension ref="B2:H11"/>
  <sheetViews>
    <sheetView workbookViewId="0">
      <selection activeCell="C12" sqref="C12"/>
    </sheetView>
  </sheetViews>
  <sheetFormatPr defaultRowHeight="15" x14ac:dyDescent="0.25"/>
  <cols>
    <col min="2" max="2" width="10.42578125" customWidth="1"/>
  </cols>
  <sheetData>
    <row r="2" spans="2:8" x14ac:dyDescent="0.25">
      <c r="C2" s="7" t="s">
        <v>5</v>
      </c>
      <c r="D2" s="7"/>
      <c r="E2" s="1"/>
    </row>
    <row r="3" spans="2:8" x14ac:dyDescent="0.25">
      <c r="B3" t="s">
        <v>6</v>
      </c>
      <c r="C3" t="s">
        <v>40</v>
      </c>
      <c r="D3" t="s">
        <v>41</v>
      </c>
      <c r="E3" t="s">
        <v>42</v>
      </c>
      <c r="F3" t="s">
        <v>7</v>
      </c>
    </row>
    <row r="4" spans="2:8" x14ac:dyDescent="0.25">
      <c r="B4" t="s">
        <v>37</v>
      </c>
      <c r="C4">
        <v>1</v>
      </c>
      <c r="D4">
        <v>0</v>
      </c>
      <c r="E4">
        <v>2</v>
      </c>
      <c r="F4">
        <f>SUMPRODUCT(C4:E4,$C$8:$E$8)</f>
        <v>0</v>
      </c>
      <c r="G4" t="s">
        <v>8</v>
      </c>
      <c r="H4">
        <v>4</v>
      </c>
    </row>
    <row r="5" spans="2:8" x14ac:dyDescent="0.25">
      <c r="B5" t="s">
        <v>39</v>
      </c>
      <c r="C5">
        <v>0</v>
      </c>
      <c r="D5">
        <v>2</v>
      </c>
      <c r="E5">
        <v>3</v>
      </c>
      <c r="F5">
        <f t="shared" ref="F5:F7" si="0">SUMPRODUCT(C5:E5,$C$8:$E$8)</f>
        <v>0</v>
      </c>
      <c r="G5" t="s">
        <v>8</v>
      </c>
      <c r="H5">
        <v>12</v>
      </c>
    </row>
    <row r="6" spans="2:8" x14ac:dyDescent="0.25">
      <c r="B6" t="s">
        <v>38</v>
      </c>
      <c r="C6">
        <v>3</v>
      </c>
      <c r="D6">
        <v>2</v>
      </c>
      <c r="E6">
        <v>1</v>
      </c>
      <c r="F6">
        <f t="shared" si="0"/>
        <v>0</v>
      </c>
      <c r="G6" t="s">
        <v>8</v>
      </c>
      <c r="H6">
        <v>18</v>
      </c>
    </row>
    <row r="7" spans="2:8" x14ac:dyDescent="0.25">
      <c r="B7" t="s">
        <v>35</v>
      </c>
      <c r="C7">
        <v>3</v>
      </c>
      <c r="D7">
        <v>5</v>
      </c>
      <c r="E7">
        <v>13.5</v>
      </c>
      <c r="F7">
        <f t="shared" si="0"/>
        <v>0</v>
      </c>
    </row>
    <row r="8" spans="2:8" x14ac:dyDescent="0.25">
      <c r="B8" t="s">
        <v>7</v>
      </c>
      <c r="C8">
        <v>0</v>
      </c>
      <c r="D8">
        <v>0</v>
      </c>
      <c r="E8">
        <v>0</v>
      </c>
    </row>
    <row r="11" spans="2:8" x14ac:dyDescent="0.25">
      <c r="C11" t="s">
        <v>43</v>
      </c>
    </row>
  </sheetData>
  <mergeCells count="1"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DD2A-44F2-43A1-BDB7-41EC56C27D55}">
  <dimension ref="A1:P15"/>
  <sheetViews>
    <sheetView tabSelected="1" workbookViewId="0">
      <selection activeCell="P14" sqref="P14"/>
    </sheetView>
  </sheetViews>
  <sheetFormatPr defaultRowHeight="15" x14ac:dyDescent="0.25"/>
  <cols>
    <col min="1" max="1" width="16.7109375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44</v>
      </c>
    </row>
    <row r="2" spans="1:16" x14ac:dyDescent="0.25">
      <c r="B2">
        <v>1</v>
      </c>
      <c r="E2">
        <v>1</v>
      </c>
      <c r="H2">
        <v>1</v>
      </c>
      <c r="K2">
        <v>1</v>
      </c>
      <c r="N2">
        <f t="shared" ref="N2:N14" si="0">SUMPRODUCT(B2:M2,$B$15:$M$15)</f>
        <v>1</v>
      </c>
      <c r="O2" t="s">
        <v>36</v>
      </c>
      <c r="P2">
        <v>1</v>
      </c>
    </row>
    <row r="3" spans="1:16" x14ac:dyDescent="0.25">
      <c r="C3">
        <v>1</v>
      </c>
      <c r="F3">
        <v>1</v>
      </c>
      <c r="I3">
        <v>1</v>
      </c>
      <c r="L3">
        <v>1</v>
      </c>
      <c r="N3">
        <f t="shared" si="0"/>
        <v>1</v>
      </c>
      <c r="O3" t="s">
        <v>36</v>
      </c>
      <c r="P3">
        <v>1</v>
      </c>
    </row>
    <row r="4" spans="1:16" x14ac:dyDescent="0.25">
      <c r="D4">
        <v>1</v>
      </c>
      <c r="G4">
        <v>1</v>
      </c>
      <c r="J4">
        <v>1</v>
      </c>
      <c r="M4">
        <v>1</v>
      </c>
      <c r="N4">
        <f t="shared" si="0"/>
        <v>1</v>
      </c>
      <c r="O4" t="s">
        <v>36</v>
      </c>
      <c r="P4">
        <v>1</v>
      </c>
    </row>
    <row r="5" spans="1:16" x14ac:dyDescent="0.25">
      <c r="E5">
        <v>1</v>
      </c>
      <c r="H5">
        <v>1</v>
      </c>
      <c r="J5">
        <v>1</v>
      </c>
      <c r="K5">
        <v>1</v>
      </c>
      <c r="M5">
        <v>1</v>
      </c>
      <c r="N5">
        <f t="shared" si="0"/>
        <v>1</v>
      </c>
      <c r="O5" t="s">
        <v>36</v>
      </c>
      <c r="P5">
        <v>1</v>
      </c>
    </row>
    <row r="6" spans="1:16" x14ac:dyDescent="0.25">
      <c r="B6">
        <v>1</v>
      </c>
      <c r="G6">
        <v>1</v>
      </c>
      <c r="K6">
        <v>1</v>
      </c>
      <c r="L6">
        <v>1</v>
      </c>
      <c r="N6">
        <f t="shared" si="0"/>
        <v>1</v>
      </c>
      <c r="O6" t="s">
        <v>36</v>
      </c>
      <c r="P6">
        <v>1</v>
      </c>
    </row>
    <row r="7" spans="1:16" x14ac:dyDescent="0.25">
      <c r="E7">
        <v>1</v>
      </c>
      <c r="F7">
        <v>1</v>
      </c>
      <c r="J7">
        <v>1</v>
      </c>
      <c r="N7">
        <f t="shared" si="0"/>
        <v>1</v>
      </c>
      <c r="O7" t="s">
        <v>36</v>
      </c>
      <c r="P7">
        <v>1</v>
      </c>
    </row>
    <row r="8" spans="1:16" x14ac:dyDescent="0.25">
      <c r="H8">
        <v>1</v>
      </c>
      <c r="I8">
        <v>1</v>
      </c>
      <c r="K8">
        <v>1</v>
      </c>
      <c r="L8">
        <v>1</v>
      </c>
      <c r="M8">
        <v>1</v>
      </c>
      <c r="N8">
        <f t="shared" si="0"/>
        <v>1</v>
      </c>
      <c r="O8" t="s">
        <v>36</v>
      </c>
      <c r="P8">
        <v>1</v>
      </c>
    </row>
    <row r="9" spans="1:16" x14ac:dyDescent="0.25">
      <c r="C9">
        <v>1</v>
      </c>
      <c r="E9">
        <v>1</v>
      </c>
      <c r="F9">
        <v>1</v>
      </c>
      <c r="J9">
        <v>1</v>
      </c>
      <c r="N9">
        <f t="shared" si="0"/>
        <v>1</v>
      </c>
      <c r="O9" t="s">
        <v>36</v>
      </c>
      <c r="P9">
        <v>1</v>
      </c>
    </row>
    <row r="10" spans="1:16" x14ac:dyDescent="0.25">
      <c r="F10">
        <v>1</v>
      </c>
      <c r="I10">
        <v>1</v>
      </c>
      <c r="L10">
        <v>1</v>
      </c>
      <c r="N10">
        <f t="shared" si="0"/>
        <v>1</v>
      </c>
      <c r="O10" t="s">
        <v>36</v>
      </c>
      <c r="P10">
        <v>1</v>
      </c>
    </row>
    <row r="11" spans="1:16" x14ac:dyDescent="0.25">
      <c r="D11">
        <v>1</v>
      </c>
      <c r="H11">
        <v>1</v>
      </c>
      <c r="I11">
        <v>1</v>
      </c>
      <c r="M11">
        <v>1</v>
      </c>
      <c r="N11">
        <f t="shared" si="0"/>
        <v>1</v>
      </c>
      <c r="O11" t="s">
        <v>36</v>
      </c>
      <c r="P11">
        <v>1</v>
      </c>
    </row>
    <row r="12" spans="1:16" x14ac:dyDescent="0.25">
      <c r="G12">
        <v>1</v>
      </c>
      <c r="J12">
        <v>1</v>
      </c>
      <c r="K12">
        <v>1</v>
      </c>
      <c r="L12">
        <v>1</v>
      </c>
      <c r="M12">
        <v>1</v>
      </c>
      <c r="N12">
        <f t="shared" si="0"/>
        <v>1</v>
      </c>
      <c r="O12" t="s">
        <v>36</v>
      </c>
      <c r="P12">
        <v>1</v>
      </c>
    </row>
    <row r="13" spans="1:16" x14ac:dyDescent="0.25">
      <c r="A13" t="s">
        <v>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f t="shared" si="0"/>
        <v>3</v>
      </c>
      <c r="O13" t="s">
        <v>8</v>
      </c>
      <c r="P13">
        <v>3</v>
      </c>
    </row>
    <row r="14" spans="1:16" x14ac:dyDescent="0.25">
      <c r="A14" t="s">
        <v>18</v>
      </c>
      <c r="B14">
        <v>2</v>
      </c>
      <c r="C14">
        <v>3</v>
      </c>
      <c r="D14">
        <v>4</v>
      </c>
      <c r="E14">
        <v>6</v>
      </c>
      <c r="F14">
        <v>7</v>
      </c>
      <c r="G14">
        <v>5</v>
      </c>
      <c r="H14">
        <v>7</v>
      </c>
      <c r="I14">
        <v>8</v>
      </c>
      <c r="J14">
        <v>9</v>
      </c>
      <c r="K14">
        <v>9</v>
      </c>
      <c r="L14">
        <v>8</v>
      </c>
      <c r="M14">
        <v>9</v>
      </c>
      <c r="N14">
        <f t="shared" si="0"/>
        <v>18</v>
      </c>
    </row>
    <row r="15" spans="1:16" x14ac:dyDescent="0.25">
      <c r="A15" t="s">
        <v>7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9B79-974C-4250-996F-3453BA912ACB}">
  <dimension ref="A2:L25"/>
  <sheetViews>
    <sheetView workbookViewId="0">
      <selection activeCell="K13" sqref="K13"/>
    </sheetView>
  </sheetViews>
  <sheetFormatPr defaultRowHeight="15" x14ac:dyDescent="0.25"/>
  <sheetData>
    <row r="2" spans="1:11" x14ac:dyDescent="0.25">
      <c r="A2" t="s">
        <v>49</v>
      </c>
      <c r="B2" t="s">
        <v>46</v>
      </c>
      <c r="C2" t="s">
        <v>47</v>
      </c>
      <c r="D2" t="s">
        <v>48</v>
      </c>
    </row>
    <row r="3" spans="1:11" x14ac:dyDescent="0.25">
      <c r="B3">
        <v>0</v>
      </c>
      <c r="C3">
        <v>0</v>
      </c>
      <c r="D3">
        <v>0</v>
      </c>
    </row>
    <row r="4" spans="1:11" x14ac:dyDescent="0.25">
      <c r="B4">
        <v>1</v>
      </c>
      <c r="C4">
        <v>50</v>
      </c>
      <c r="D4">
        <v>1</v>
      </c>
    </row>
    <row r="5" spans="1:11" x14ac:dyDescent="0.25">
      <c r="B5">
        <v>2</v>
      </c>
      <c r="C5">
        <v>70</v>
      </c>
      <c r="D5">
        <v>2</v>
      </c>
      <c r="F5">
        <v>1</v>
      </c>
    </row>
    <row r="6" spans="1:11" x14ac:dyDescent="0.25">
      <c r="B6">
        <v>3</v>
      </c>
      <c r="C6">
        <v>80</v>
      </c>
      <c r="D6">
        <v>3</v>
      </c>
    </row>
    <row r="7" spans="1:11" x14ac:dyDescent="0.25">
      <c r="B7">
        <v>4</v>
      </c>
      <c r="C7">
        <v>100</v>
      </c>
      <c r="D7">
        <v>4</v>
      </c>
    </row>
    <row r="8" spans="1:11" x14ac:dyDescent="0.25">
      <c r="B8">
        <v>5</v>
      </c>
      <c r="C8">
        <v>130</v>
      </c>
      <c r="D8">
        <v>5</v>
      </c>
    </row>
    <row r="11" spans="1:11" x14ac:dyDescent="0.25">
      <c r="A11" t="s">
        <v>53</v>
      </c>
      <c r="B11" t="s">
        <v>50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 t="s">
        <v>51</v>
      </c>
      <c r="J11" t="s">
        <v>52</v>
      </c>
    </row>
    <row r="12" spans="1:11" x14ac:dyDescent="0.25">
      <c r="B12">
        <v>0</v>
      </c>
      <c r="C12">
        <v>0</v>
      </c>
      <c r="I12">
        <f>MAX(C12:H12)</f>
        <v>0</v>
      </c>
      <c r="J12">
        <v>0</v>
      </c>
    </row>
    <row r="13" spans="1:11" x14ac:dyDescent="0.25">
      <c r="B13">
        <v>1</v>
      </c>
      <c r="C13">
        <v>50</v>
      </c>
      <c r="D13">
        <f>20</f>
        <v>20</v>
      </c>
      <c r="I13">
        <f t="shared" ref="I13:I17" si="0">MAX(C13:H13)</f>
        <v>50</v>
      </c>
      <c r="J13">
        <v>0</v>
      </c>
    </row>
    <row r="14" spans="1:11" x14ac:dyDescent="0.25">
      <c r="B14">
        <v>2</v>
      </c>
      <c r="C14">
        <v>70</v>
      </c>
      <c r="D14">
        <f>D13+C13</f>
        <v>70</v>
      </c>
      <c r="E14">
        <f>45</f>
        <v>45</v>
      </c>
      <c r="I14">
        <f t="shared" si="0"/>
        <v>70</v>
      </c>
      <c r="J14" t="s">
        <v>54</v>
      </c>
      <c r="K14">
        <v>3</v>
      </c>
    </row>
    <row r="15" spans="1:11" x14ac:dyDescent="0.25">
      <c r="B15">
        <v>3</v>
      </c>
      <c r="C15">
        <v>80</v>
      </c>
      <c r="D15">
        <f>20+C14</f>
        <v>90</v>
      </c>
      <c r="E15">
        <f>E14+C13</f>
        <v>95</v>
      </c>
      <c r="F15">
        <f>75</f>
        <v>75</v>
      </c>
      <c r="I15">
        <f t="shared" si="0"/>
        <v>95</v>
      </c>
      <c r="J15">
        <v>2</v>
      </c>
    </row>
    <row r="16" spans="1:11" x14ac:dyDescent="0.25">
      <c r="B16">
        <v>4</v>
      </c>
      <c r="C16">
        <v>100</v>
      </c>
      <c r="D16">
        <f>20+C15</f>
        <v>100</v>
      </c>
      <c r="E16">
        <f>E14+C14</f>
        <v>115</v>
      </c>
      <c r="F16">
        <f>F15+C13</f>
        <v>125</v>
      </c>
      <c r="G16">
        <f>110</f>
        <v>110</v>
      </c>
      <c r="I16">
        <f t="shared" si="0"/>
        <v>125</v>
      </c>
      <c r="J16">
        <v>3</v>
      </c>
    </row>
    <row r="17" spans="2:12" x14ac:dyDescent="0.25">
      <c r="B17">
        <v>5</v>
      </c>
      <c r="C17">
        <v>130</v>
      </c>
      <c r="D17">
        <f>D13+C16</f>
        <v>120</v>
      </c>
      <c r="E17">
        <f>E14+C15</f>
        <v>125</v>
      </c>
      <c r="F17">
        <f>F15+C14</f>
        <v>145</v>
      </c>
      <c r="G17">
        <f>G16+C13</f>
        <v>160</v>
      </c>
      <c r="H17">
        <f>150</f>
        <v>150</v>
      </c>
      <c r="I17">
        <f t="shared" si="0"/>
        <v>160</v>
      </c>
      <c r="J17">
        <v>4</v>
      </c>
    </row>
    <row r="19" spans="2:12" x14ac:dyDescent="0.25">
      <c r="B19" t="s">
        <v>57</v>
      </c>
      <c r="C19">
        <v>0</v>
      </c>
      <c r="D19">
        <v>1</v>
      </c>
      <c r="E19">
        <v>2</v>
      </c>
      <c r="F19">
        <v>3</v>
      </c>
      <c r="G19">
        <v>4</v>
      </c>
      <c r="H19">
        <v>5</v>
      </c>
      <c r="I19" t="s">
        <v>55</v>
      </c>
      <c r="J19" t="s">
        <v>56</v>
      </c>
    </row>
    <row r="20" spans="2:12" x14ac:dyDescent="0.25">
      <c r="B20">
        <v>0</v>
      </c>
      <c r="C20">
        <v>0</v>
      </c>
      <c r="I20">
        <f>MAX(C20:H20)</f>
        <v>0</v>
      </c>
    </row>
    <row r="21" spans="2:12" x14ac:dyDescent="0.25">
      <c r="B21">
        <v>1</v>
      </c>
      <c r="C21">
        <v>50</v>
      </c>
      <c r="D21">
        <v>45</v>
      </c>
      <c r="I21">
        <f t="shared" ref="I21:I25" si="1">MAX(C21:H21)</f>
        <v>50</v>
      </c>
      <c r="J21">
        <v>0</v>
      </c>
      <c r="L21">
        <v>1</v>
      </c>
    </row>
    <row r="22" spans="2:12" x14ac:dyDescent="0.25">
      <c r="B22">
        <v>2</v>
      </c>
      <c r="C22">
        <v>70</v>
      </c>
      <c r="D22">
        <f>D21+C21</f>
        <v>95</v>
      </c>
      <c r="E22">
        <f>70</f>
        <v>70</v>
      </c>
      <c r="I22">
        <f t="shared" si="1"/>
        <v>95</v>
      </c>
      <c r="J22">
        <v>1</v>
      </c>
    </row>
    <row r="23" spans="2:12" x14ac:dyDescent="0.25">
      <c r="B23">
        <v>3</v>
      </c>
      <c r="C23">
        <v>95</v>
      </c>
      <c r="D23">
        <f>D21+C22</f>
        <v>115</v>
      </c>
      <c r="E23">
        <f>E22+C21</f>
        <v>120</v>
      </c>
      <c r="F23">
        <f>90</f>
        <v>90</v>
      </c>
      <c r="I23">
        <f t="shared" si="1"/>
        <v>120</v>
      </c>
      <c r="J23">
        <v>2</v>
      </c>
    </row>
    <row r="24" spans="2:12" x14ac:dyDescent="0.25">
      <c r="B24">
        <v>4</v>
      </c>
      <c r="C24">
        <v>125</v>
      </c>
      <c r="D24">
        <f>D21+C23</f>
        <v>140</v>
      </c>
      <c r="E24">
        <f>E22+C22</f>
        <v>140</v>
      </c>
      <c r="F24">
        <f>F23+C21</f>
        <v>140</v>
      </c>
      <c r="G24">
        <f>105</f>
        <v>105</v>
      </c>
      <c r="I24">
        <f t="shared" si="1"/>
        <v>140</v>
      </c>
      <c r="J24" t="s">
        <v>58</v>
      </c>
    </row>
    <row r="25" spans="2:12" x14ac:dyDescent="0.25">
      <c r="B25">
        <v>5</v>
      </c>
      <c r="C25">
        <v>160</v>
      </c>
      <c r="D25">
        <f>D21+C24</f>
        <v>170</v>
      </c>
      <c r="E25">
        <f>E22+C23</f>
        <v>165</v>
      </c>
      <c r="F25">
        <f>F23+C22</f>
        <v>160</v>
      </c>
      <c r="G25">
        <f>G24+C21</f>
        <v>155</v>
      </c>
      <c r="H25">
        <v>120</v>
      </c>
      <c r="I25">
        <f t="shared" si="1"/>
        <v>170</v>
      </c>
      <c r="J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Følsomhedsrapport 1</vt:lpstr>
      <vt:lpstr>LP LØSNING</vt:lpstr>
      <vt:lpstr>Dualle problem</vt:lpstr>
      <vt:lpstr>Nyt produkt</vt:lpstr>
      <vt:lpstr>Ark5</vt:lpstr>
      <vt:lpstr>Ark6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Bang Olsen</dc:creator>
  <cp:lastModifiedBy>asger konradi</cp:lastModifiedBy>
  <dcterms:created xsi:type="dcterms:W3CDTF">2024-01-14T23:00:51Z</dcterms:created>
  <dcterms:modified xsi:type="dcterms:W3CDTF">2024-02-07T03:28:41Z</dcterms:modified>
</cp:coreProperties>
</file>