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d2e27841fd4b7ba/Skrivebord/principper/or slides/"/>
    </mc:Choice>
  </mc:AlternateContent>
  <xr:revisionPtr revIDLastSave="2202" documentId="13_ncr:1_{A633CD5E-7D7D-4443-BA74-BF628F4C987A}" xr6:coauthVersionLast="47" xr6:coauthVersionMax="47" xr10:uidLastSave="{2B5BFF7A-50B0-470A-AD48-20D12776B69C}"/>
  <bookViews>
    <workbookView xWindow="-120" yWindow="-120" windowWidth="29040" windowHeight="15720" activeTab="4" xr2:uid="{00000000-000D-0000-FFFF-FFFF00000000}"/>
  </bookViews>
  <sheets>
    <sheet name="HL-Eksempel" sheetId="1" r:id="rId1"/>
    <sheet name="Udvidet Eksempel" sheetId="2" r:id="rId2"/>
    <sheet name="Følsomhedsrapport 1" sheetId="4" r:id="rId3"/>
    <sheet name="Følsomhedsrapport 2" sheetId="5" r:id="rId4"/>
    <sheet name="Sheet3" sheetId="3" r:id="rId5"/>
  </sheets>
  <definedNames>
    <definedName name="solver_adj" localSheetId="4" hidden="1">Sheet3!$AD$12:$AH$12</definedName>
    <definedName name="solver_cvg" localSheetId="4" hidden="1">0.0001</definedName>
    <definedName name="solver_drv" localSheetId="4" hidden="1">2</definedName>
    <definedName name="solver_eng" localSheetId="4" hidden="1">2</definedName>
    <definedName name="solver_est" localSheetId="4" hidden="1">1</definedName>
    <definedName name="solver_itr" localSheetId="4" hidden="1">2147483647</definedName>
    <definedName name="solver_lhs1" localSheetId="4" hidden="1">Sheet3!$AI$5:$AI$6</definedName>
    <definedName name="solver_lhs2" localSheetId="4" hidden="1">Sheet3!$AI$7</definedName>
    <definedName name="solver_lhs3" localSheetId="4" hidden="1">Sheet3!$AI$8</definedName>
    <definedName name="solver_lhs4" localSheetId="4" hidden="1">Sheet3!$AI$9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4</definedName>
    <definedName name="solver_nwt" localSheetId="4" hidden="1">1</definedName>
    <definedName name="solver_opt" localSheetId="4" hidden="1">Sheet3!$AI$11</definedName>
    <definedName name="solver_pre" localSheetId="4" hidden="1">0.000001</definedName>
    <definedName name="solver_rbv" localSheetId="4" hidden="1">2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1</definedName>
    <definedName name="solver_rhs1" localSheetId="4" hidden="1">Sheet3!$AL$5:$AL$6</definedName>
    <definedName name="solver_rhs2" localSheetId="4" hidden="1">Sheet3!$AE$10</definedName>
    <definedName name="solver_rhs3" localSheetId="4" hidden="1">Sheet3!$AL$8</definedName>
    <definedName name="solver_rhs4" localSheetId="4" hidden="1">Sheet3!$AL$9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7" i="3" l="1"/>
  <c r="AI9" i="3"/>
  <c r="AI11" i="3"/>
  <c r="AH11" i="3"/>
  <c r="AI8" i="3"/>
  <c r="AI7" i="3"/>
  <c r="AI6" i="3"/>
  <c r="AL5" i="3"/>
  <c r="AI5" i="3"/>
  <c r="I6" i="3"/>
  <c r="I5" i="3"/>
  <c r="H11" i="3"/>
  <c r="I8" i="3"/>
  <c r="H26" i="3"/>
  <c r="H24" i="3"/>
  <c r="H23" i="3"/>
  <c r="H22" i="3"/>
  <c r="H21" i="3"/>
  <c r="F15" i="3"/>
  <c r="I11" i="3"/>
  <c r="I7" i="3"/>
  <c r="L5" i="3"/>
  <c r="N38" i="1"/>
  <c r="J55" i="1"/>
  <c r="L53" i="1"/>
  <c r="K53" i="1"/>
  <c r="J53" i="1"/>
  <c r="Q47" i="1"/>
  <c r="P47" i="1"/>
  <c r="N47" i="1"/>
  <c r="M47" i="1"/>
  <c r="L47" i="1"/>
  <c r="K47" i="1"/>
  <c r="Q41" i="1"/>
  <c r="P41" i="1"/>
  <c r="O41" i="1"/>
  <c r="P40" i="1"/>
  <c r="O39" i="1"/>
  <c r="N41" i="1"/>
  <c r="N40" i="1"/>
  <c r="N39" i="1"/>
  <c r="O40" i="1"/>
  <c r="N42" i="1"/>
  <c r="J41" i="1"/>
  <c r="J40" i="1"/>
  <c r="J39" i="1"/>
  <c r="J38" i="1"/>
  <c r="J37" i="1"/>
  <c r="T38" i="1"/>
  <c r="P17" i="1"/>
  <c r="R42" i="1"/>
  <c r="T39" i="1"/>
  <c r="Q29" i="1"/>
  <c r="P29" i="1"/>
  <c r="O29" i="1"/>
  <c r="R25" i="1"/>
  <c r="Q25" i="1"/>
  <c r="P25" i="1"/>
  <c r="U17" i="1"/>
  <c r="U18" i="1"/>
  <c r="U16" i="1"/>
  <c r="S21" i="1"/>
  <c r="Q21" i="1"/>
  <c r="Q20" i="1"/>
  <c r="Q19" i="1"/>
  <c r="Q18" i="1"/>
  <c r="R19" i="1"/>
  <c r="U19" i="1" s="1"/>
  <c r="S20" i="1"/>
  <c r="T21" i="1"/>
  <c r="P21" i="1"/>
  <c r="P20" i="1"/>
  <c r="P19" i="1"/>
  <c r="P18" i="1"/>
  <c r="O17" i="1"/>
  <c r="O18" i="1"/>
  <c r="O19" i="1"/>
  <c r="O20" i="1"/>
  <c r="O21" i="1"/>
  <c r="O16" i="1"/>
  <c r="J16" i="1"/>
  <c r="J17" i="1"/>
  <c r="J18" i="1"/>
  <c r="J19" i="1"/>
  <c r="J20" i="1"/>
  <c r="J15" i="1"/>
  <c r="T40" i="1" l="1"/>
  <c r="T42" i="1"/>
  <c r="T41" i="1"/>
  <c r="R20" i="1"/>
  <c r="U20" i="1" s="1"/>
  <c r="N25" i="1"/>
  <c r="M25" i="1"/>
  <c r="S25" i="1" s="1"/>
  <c r="O31" i="1" s="1"/>
  <c r="O25" i="1"/>
  <c r="R21" i="1"/>
  <c r="U21" i="1" s="1"/>
</calcChain>
</file>

<file path=xl/sharedStrings.xml><?xml version="1.0" encoding="utf-8"?>
<sst xmlns="http://schemas.openxmlformats.org/spreadsheetml/2006/main" count="198" uniqueCount="95">
  <si>
    <t>Number of teams</t>
  </si>
  <si>
    <t>Number of countries</t>
  </si>
  <si>
    <t>Contribution Table</t>
  </si>
  <si>
    <t>Team\Country</t>
  </si>
  <si>
    <t>Output</t>
  </si>
  <si>
    <t>Country</t>
  </si>
  <si>
    <t>Allocation</t>
  </si>
  <si>
    <t>Totalcontribution</t>
  </si>
  <si>
    <t>Input</t>
  </si>
  <si>
    <t>Macro aktiveres under View/Macro/Run</t>
  </si>
  <si>
    <t>Koden kan ses under Macro/View/Edit</t>
  </si>
  <si>
    <t>s_3</t>
  </si>
  <si>
    <t>f_3(S_3)</t>
  </si>
  <si>
    <t>x_3</t>
  </si>
  <si>
    <t>f_2</t>
  </si>
  <si>
    <t>x_2</t>
  </si>
  <si>
    <t>S_2</t>
  </si>
  <si>
    <t>f_2(S_2)</t>
  </si>
  <si>
    <t>0 eller 1</t>
  </si>
  <si>
    <t>x_1</t>
  </si>
  <si>
    <t>S_1</t>
  </si>
  <si>
    <t>f_3</t>
  </si>
  <si>
    <t>Ganget sammen</t>
  </si>
  <si>
    <t>bakke1</t>
  </si>
  <si>
    <t>bakke2</t>
  </si>
  <si>
    <t>bakke3</t>
  </si>
  <si>
    <t>bakke4</t>
  </si>
  <si>
    <t>tid</t>
  </si>
  <si>
    <t>matriale</t>
  </si>
  <si>
    <t>specifik begrænsning</t>
  </si>
  <si>
    <t>aktuel værid</t>
  </si>
  <si>
    <t>begrænsning</t>
  </si>
  <si>
    <t>&lt;=</t>
  </si>
  <si>
    <t>&gt;=</t>
  </si>
  <si>
    <t>nytte</t>
  </si>
  <si>
    <t>løsning</t>
  </si>
  <si>
    <t>bakke 1</t>
  </si>
  <si>
    <t>bakke 2</t>
  </si>
  <si>
    <t>bakke 3</t>
  </si>
  <si>
    <t>bakke 4</t>
  </si>
  <si>
    <t>dual</t>
  </si>
  <si>
    <t>akt værdi</t>
  </si>
  <si>
    <t>begr</t>
  </si>
  <si>
    <t>Microsoft Excel 16.0 Følsomhedsrapport</t>
  </si>
  <si>
    <t>Regneark: [Dynamisk-programmering-med-macro-hold-til-u-lande.xlsm]Sheet3</t>
  </si>
  <si>
    <t>Rapport oprettet: 18-01-2024 10:37:01</t>
  </si>
  <si>
    <t>Variable celler</t>
  </si>
  <si>
    <t>Celle</t>
  </si>
  <si>
    <t>Navn</t>
  </si>
  <si>
    <t>Sidste</t>
  </si>
  <si>
    <t>Værdi</t>
  </si>
  <si>
    <t>Reduceret</t>
  </si>
  <si>
    <t>Omkostning</t>
  </si>
  <si>
    <t>Målsætning</t>
  </si>
  <si>
    <t>Koefficient</t>
  </si>
  <si>
    <t>Tilladt</t>
  </si>
  <si>
    <t>Forøg</t>
  </si>
  <si>
    <t>Formindsk</t>
  </si>
  <si>
    <t>Begrænsninger</t>
  </si>
  <si>
    <t>Skygge</t>
  </si>
  <si>
    <t>Pris</t>
  </si>
  <si>
    <t>Begrænsning</t>
  </si>
  <si>
    <t>R.H.-side</t>
  </si>
  <si>
    <t>$D$10</t>
  </si>
  <si>
    <t>løsning bakke1</t>
  </si>
  <si>
    <t>$E$10</t>
  </si>
  <si>
    <t>løsning bakke2</t>
  </si>
  <si>
    <t>$F$10</t>
  </si>
  <si>
    <t>løsning bakke3</t>
  </si>
  <si>
    <t>$G$10</t>
  </si>
  <si>
    <t>løsning bakke4</t>
  </si>
  <si>
    <t>$H$5</t>
  </si>
  <si>
    <t>tid aktuel værid</t>
  </si>
  <si>
    <t>$H$6</t>
  </si>
  <si>
    <t>matriale aktuel værid</t>
  </si>
  <si>
    <t>$H$7</t>
  </si>
  <si>
    <t>specifik begrænsning aktuel værid</t>
  </si>
  <si>
    <t>$D$10:$G$10</t>
  </si>
  <si>
    <t>overarbejde</t>
  </si>
  <si>
    <t>leverings kontrakt</t>
  </si>
  <si>
    <t>overarbejde tilladt</t>
  </si>
  <si>
    <t>Rapport oprettet: 18-01-2024 10:49:16</t>
  </si>
  <si>
    <t>$D$12</t>
  </si>
  <si>
    <t>$E$12</t>
  </si>
  <si>
    <t>$F$12</t>
  </si>
  <si>
    <t>$G$12</t>
  </si>
  <si>
    <t>$H$12</t>
  </si>
  <si>
    <t>løsning overarbejde</t>
  </si>
  <si>
    <t>$I$5</t>
  </si>
  <si>
    <t>$I$6</t>
  </si>
  <si>
    <t>$I$7</t>
  </si>
  <si>
    <t>leverings kontrakt aktuel værid</t>
  </si>
  <si>
    <t>$I$8</t>
  </si>
  <si>
    <t>overarbejde tilladt aktuel værid</t>
  </si>
  <si>
    <t>fordeling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</si>
</sst>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417286</xdr:colOff>
      <xdr:row>0</xdr:row>
      <xdr:rowOff>0</xdr:rowOff>
    </xdr:from>
    <xdr:to>
      <xdr:col>18</xdr:col>
      <xdr:colOff>239414</xdr:colOff>
      <xdr:row>11</xdr:row>
      <xdr:rowOff>86764</xdr:rowOff>
    </xdr:to>
    <xdr:sp macro="" textlink="">
      <xdr:nvSpPr>
        <xdr:cNvPr id="2" name="Tekstfelt 1">
          <a:extLst>
            <a:ext uri="{FF2B5EF4-FFF2-40B4-BE49-F238E27FC236}">
              <a16:creationId xmlns:a16="http://schemas.microsoft.com/office/drawing/2014/main" id="{1AD19D42-EA76-2D43-8E51-3166EA856BAE}"/>
            </a:ext>
          </a:extLst>
        </xdr:cNvPr>
        <xdr:cNvSpPr txBox="1"/>
      </xdr:nvSpPr>
      <xdr:spPr>
        <a:xfrm>
          <a:off x="10197746" y="0"/>
          <a:ext cx="3821898" cy="18968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s: antal til rådighed</a:t>
          </a:r>
        </a:p>
        <a:p>
          <a:r>
            <a:rPr lang="da-DK" sz="1100"/>
            <a:t>x: Hvor mange benyttes</a:t>
          </a:r>
        </a:p>
        <a:p>
          <a:r>
            <a:rPr lang="da-DK" sz="1100"/>
            <a:t>f*(s):</a:t>
          </a:r>
          <a:r>
            <a:rPr lang="da-DK" sz="1100" baseline="0"/>
            <a:t> Optimale løsning ved at benytte x mange</a:t>
          </a:r>
        </a:p>
        <a:p>
          <a:r>
            <a:rPr lang="da-DK" sz="1100"/>
            <a:t>x*:Hvor mange skal bruges her.</a:t>
          </a:r>
        </a:p>
        <a:p>
          <a:r>
            <a:rPr lang="da-DK" sz="1100"/>
            <a:t>Den maksimale løsning aflæses ved:</a:t>
          </a:r>
          <a:r>
            <a:rPr lang="da-DK" sz="1100" baseline="0"/>
            <a:t> For n=1 benyt x_1* ressourcer, for n=2 vælg den optimale løsning med s=5-x_3* tilbage</a:t>
          </a:r>
          <a:endParaRPr lang="da-DK" sz="1100"/>
        </a:p>
        <a:p>
          <a:r>
            <a:rPr lang="da-DK" sz="1100"/>
            <a:t>Bemærk</a:t>
          </a:r>
          <a:r>
            <a:rPr lang="da-DK" sz="1100" baseline="0"/>
            <a:t> f_n+1^*&lt;=f_n^*</a:t>
          </a:r>
        </a:p>
        <a:p>
          <a:endParaRPr lang="da-DK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55"/>
  <sheetViews>
    <sheetView topLeftCell="A13" zoomScale="75" zoomScaleNormal="87" workbookViewId="0">
      <selection activeCell="N39" sqref="N39"/>
    </sheetView>
  </sheetViews>
  <sheetFormatPr defaultColWidth="8.85546875" defaultRowHeight="12.75" x14ac:dyDescent="0.2"/>
  <cols>
    <col min="1" max="1" width="18.42578125" customWidth="1"/>
    <col min="2" max="2" width="12.85546875" customWidth="1"/>
    <col min="14" max="14" width="17.140625" customWidth="1"/>
  </cols>
  <sheetData>
    <row r="2" spans="1:22" ht="15.75" x14ac:dyDescent="0.25">
      <c r="A2" s="1" t="s">
        <v>8</v>
      </c>
    </row>
    <row r="3" spans="1:22" x14ac:dyDescent="0.2">
      <c r="A3" t="s">
        <v>0</v>
      </c>
      <c r="B3">
        <v>5</v>
      </c>
    </row>
    <row r="4" spans="1:22" x14ac:dyDescent="0.2">
      <c r="A4" t="s">
        <v>1</v>
      </c>
      <c r="B4">
        <v>3</v>
      </c>
    </row>
    <row r="7" spans="1:22" x14ac:dyDescent="0.2">
      <c r="A7" t="s">
        <v>2</v>
      </c>
      <c r="B7" t="s">
        <v>3</v>
      </c>
      <c r="C7">
        <v>1</v>
      </c>
      <c r="D7">
        <v>2</v>
      </c>
      <c r="E7">
        <v>3</v>
      </c>
    </row>
    <row r="8" spans="1:22" x14ac:dyDescent="0.2">
      <c r="B8">
        <v>0</v>
      </c>
      <c r="C8">
        <v>0</v>
      </c>
      <c r="D8">
        <v>0</v>
      </c>
      <c r="E8">
        <v>0</v>
      </c>
      <c r="I8" s="2" t="s">
        <v>9</v>
      </c>
    </row>
    <row r="9" spans="1:22" x14ac:dyDescent="0.2">
      <c r="B9">
        <v>1</v>
      </c>
      <c r="C9">
        <v>45</v>
      </c>
      <c r="D9">
        <v>20</v>
      </c>
      <c r="E9">
        <v>50</v>
      </c>
      <c r="I9" s="2" t="s">
        <v>10</v>
      </c>
    </row>
    <row r="10" spans="1:22" x14ac:dyDescent="0.2">
      <c r="B10">
        <v>2</v>
      </c>
      <c r="C10">
        <v>70</v>
      </c>
      <c r="D10">
        <v>45</v>
      </c>
      <c r="E10">
        <v>70</v>
      </c>
    </row>
    <row r="11" spans="1:22" x14ac:dyDescent="0.2">
      <c r="B11">
        <v>3</v>
      </c>
      <c r="C11">
        <v>90</v>
      </c>
      <c r="D11">
        <v>75</v>
      </c>
      <c r="E11">
        <v>80</v>
      </c>
    </row>
    <row r="12" spans="1:22" x14ac:dyDescent="0.2">
      <c r="B12">
        <v>4</v>
      </c>
      <c r="C12">
        <v>105</v>
      </c>
      <c r="D12">
        <v>110</v>
      </c>
      <c r="E12">
        <v>100</v>
      </c>
    </row>
    <row r="13" spans="1:22" x14ac:dyDescent="0.2">
      <c r="B13">
        <v>5</v>
      </c>
      <c r="C13">
        <v>120</v>
      </c>
      <c r="D13">
        <v>150</v>
      </c>
      <c r="E13">
        <v>130</v>
      </c>
    </row>
    <row r="14" spans="1:22" x14ac:dyDescent="0.2">
      <c r="I14" s="3" t="s">
        <v>11</v>
      </c>
      <c r="J14" s="3" t="s">
        <v>12</v>
      </c>
      <c r="K14" s="3" t="s">
        <v>13</v>
      </c>
      <c r="N14" s="3" t="s">
        <v>15</v>
      </c>
      <c r="O14" s="5" t="s">
        <v>14</v>
      </c>
      <c r="P14" s="6"/>
      <c r="Q14" s="6"/>
      <c r="R14" s="6"/>
      <c r="S14" s="6"/>
      <c r="T14" s="6"/>
      <c r="U14" s="6"/>
      <c r="V14" s="4"/>
    </row>
    <row r="15" spans="1:22" x14ac:dyDescent="0.2">
      <c r="I15" s="4">
        <v>0</v>
      </c>
      <c r="J15" s="4">
        <f>E8</f>
        <v>0</v>
      </c>
      <c r="K15" s="4">
        <v>0</v>
      </c>
      <c r="N15" s="3" t="s">
        <v>16</v>
      </c>
      <c r="O15" s="4">
        <v>0</v>
      </c>
      <c r="P15" s="4">
        <v>1</v>
      </c>
      <c r="Q15" s="4">
        <v>2</v>
      </c>
      <c r="R15" s="4">
        <v>3</v>
      </c>
      <c r="S15" s="4">
        <v>4</v>
      </c>
      <c r="T15" s="4">
        <v>5</v>
      </c>
      <c r="U15" s="3" t="s">
        <v>17</v>
      </c>
      <c r="V15" s="3" t="s">
        <v>15</v>
      </c>
    </row>
    <row r="16" spans="1:22" x14ac:dyDescent="0.2">
      <c r="I16" s="4">
        <v>1</v>
      </c>
      <c r="J16" s="4">
        <f t="shared" ref="J16:J20" si="0">E9</f>
        <v>50</v>
      </c>
      <c r="K16" s="4">
        <v>1</v>
      </c>
      <c r="N16" s="4">
        <v>0</v>
      </c>
      <c r="O16" s="4">
        <f>J15</f>
        <v>0</v>
      </c>
      <c r="P16" s="4"/>
      <c r="Q16" s="4"/>
      <c r="R16" s="4"/>
      <c r="S16" s="4"/>
      <c r="T16" s="4"/>
      <c r="U16" s="4">
        <f>MAX(O16:T16)</f>
        <v>0</v>
      </c>
      <c r="V16" s="4">
        <v>0</v>
      </c>
    </row>
    <row r="17" spans="1:22" ht="15.75" x14ac:dyDescent="0.25">
      <c r="A17" s="1"/>
      <c r="I17" s="4">
        <v>2</v>
      </c>
      <c r="J17" s="4">
        <f t="shared" si="0"/>
        <v>70</v>
      </c>
      <c r="K17" s="4">
        <v>2</v>
      </c>
      <c r="N17" s="4">
        <v>1</v>
      </c>
      <c r="O17" s="4">
        <f t="shared" ref="O17:O21" si="1">J16</f>
        <v>50</v>
      </c>
      <c r="P17" s="4">
        <f>D9</f>
        <v>20</v>
      </c>
      <c r="Q17" s="4"/>
      <c r="R17" s="4"/>
      <c r="S17" s="4"/>
      <c r="T17" s="4"/>
      <c r="U17" s="4">
        <f t="shared" ref="U17:U21" si="2">MAX(O17:T17)</f>
        <v>50</v>
      </c>
      <c r="V17" s="4">
        <v>0</v>
      </c>
    </row>
    <row r="18" spans="1:22" x14ac:dyDescent="0.2">
      <c r="I18" s="4">
        <v>3</v>
      </c>
      <c r="J18" s="4">
        <f t="shared" si="0"/>
        <v>80</v>
      </c>
      <c r="K18" s="4">
        <v>3</v>
      </c>
      <c r="N18" s="4">
        <v>2</v>
      </c>
      <c r="O18" s="4">
        <f t="shared" si="1"/>
        <v>70</v>
      </c>
      <c r="P18" s="4">
        <f>O17+P17</f>
        <v>70</v>
      </c>
      <c r="Q18" s="4">
        <f>D10</f>
        <v>45</v>
      </c>
      <c r="R18" s="4"/>
      <c r="S18" s="4"/>
      <c r="T18" s="4"/>
      <c r="U18" s="4">
        <f t="shared" si="2"/>
        <v>70</v>
      </c>
      <c r="V18" s="3" t="s">
        <v>18</v>
      </c>
    </row>
    <row r="19" spans="1:22" x14ac:dyDescent="0.2">
      <c r="I19" s="4">
        <v>4</v>
      </c>
      <c r="J19" s="4">
        <f t="shared" si="0"/>
        <v>100</v>
      </c>
      <c r="K19" s="4">
        <v>4</v>
      </c>
      <c r="N19" s="4">
        <v>3</v>
      </c>
      <c r="O19" s="4">
        <f t="shared" si="1"/>
        <v>80</v>
      </c>
      <c r="P19" s="4">
        <f>O18+P17</f>
        <v>90</v>
      </c>
      <c r="Q19" s="4">
        <f>Q18+O17</f>
        <v>95</v>
      </c>
      <c r="R19" s="4">
        <f>D11</f>
        <v>75</v>
      </c>
      <c r="S19" s="4"/>
      <c r="T19" s="4"/>
      <c r="U19" s="4">
        <f t="shared" si="2"/>
        <v>95</v>
      </c>
      <c r="V19" s="4">
        <v>2</v>
      </c>
    </row>
    <row r="20" spans="1:22" x14ac:dyDescent="0.2">
      <c r="I20" s="4">
        <v>5</v>
      </c>
      <c r="J20" s="4">
        <f t="shared" si="0"/>
        <v>130</v>
      </c>
      <c r="K20" s="4">
        <v>5</v>
      </c>
      <c r="N20" s="4">
        <v>4</v>
      </c>
      <c r="O20" s="4">
        <f t="shared" si="1"/>
        <v>100</v>
      </c>
      <c r="P20" s="4">
        <f>O19+P17</f>
        <v>100</v>
      </c>
      <c r="Q20" s="4">
        <f>Q18+O18</f>
        <v>115</v>
      </c>
      <c r="R20" s="4">
        <f>R19+O17</f>
        <v>125</v>
      </c>
      <c r="S20" s="4">
        <f>D12</f>
        <v>110</v>
      </c>
      <c r="T20" s="4"/>
      <c r="U20" s="4">
        <f t="shared" si="2"/>
        <v>125</v>
      </c>
      <c r="V20" s="4">
        <v>3</v>
      </c>
    </row>
    <row r="21" spans="1:22" x14ac:dyDescent="0.2">
      <c r="N21" s="4">
        <v>5</v>
      </c>
      <c r="O21" s="4">
        <f t="shared" si="1"/>
        <v>130</v>
      </c>
      <c r="P21" s="4">
        <f>O20+P17</f>
        <v>120</v>
      </c>
      <c r="Q21" s="4">
        <f>Q18+O19</f>
        <v>125</v>
      </c>
      <c r="R21" s="4">
        <f>R19+O18</f>
        <v>145</v>
      </c>
      <c r="S21" s="4">
        <f>S20+O17</f>
        <v>160</v>
      </c>
      <c r="T21" s="4">
        <f>D13</f>
        <v>150</v>
      </c>
      <c r="U21" s="4">
        <f t="shared" si="2"/>
        <v>160</v>
      </c>
      <c r="V21" s="4">
        <v>4</v>
      </c>
    </row>
    <row r="22" spans="1:22" ht="15.75" x14ac:dyDescent="0.25">
      <c r="A22" s="1" t="s">
        <v>4</v>
      </c>
    </row>
    <row r="23" spans="1:22" x14ac:dyDescent="0.2">
      <c r="B23" t="s">
        <v>5</v>
      </c>
      <c r="C23">
        <v>1</v>
      </c>
      <c r="D23">
        <v>2</v>
      </c>
      <c r="E23">
        <v>3</v>
      </c>
      <c r="L23" s="3" t="s">
        <v>19</v>
      </c>
      <c r="M23" s="5" t="s">
        <v>21</v>
      </c>
      <c r="N23" s="6"/>
      <c r="O23" s="6"/>
      <c r="P23" s="6"/>
      <c r="Q23" s="6"/>
      <c r="R23" s="6"/>
      <c r="S23" s="6"/>
      <c r="T23" s="4"/>
    </row>
    <row r="24" spans="1:22" x14ac:dyDescent="0.2">
      <c r="B24" t="s">
        <v>6</v>
      </c>
      <c r="C24">
        <v>2</v>
      </c>
      <c r="D24">
        <v>2</v>
      </c>
      <c r="E24">
        <v>1</v>
      </c>
      <c r="L24" s="3" t="s">
        <v>20</v>
      </c>
      <c r="M24" s="4">
        <v>0</v>
      </c>
      <c r="N24" s="4">
        <v>1</v>
      </c>
      <c r="O24" s="4">
        <v>2</v>
      </c>
      <c r="P24" s="4">
        <v>3</v>
      </c>
      <c r="Q24" s="4">
        <v>4</v>
      </c>
      <c r="R24" s="4">
        <v>5</v>
      </c>
      <c r="S24" s="3" t="s">
        <v>17</v>
      </c>
      <c r="T24" s="3" t="s">
        <v>15</v>
      </c>
    </row>
    <row r="25" spans="1:22" x14ac:dyDescent="0.2">
      <c r="L25" s="4">
        <v>5</v>
      </c>
      <c r="M25" s="4">
        <f>MAX(U16:U21)</f>
        <v>160</v>
      </c>
      <c r="N25" s="4">
        <f>MAX(U16:U20)+C9</f>
        <v>170</v>
      </c>
      <c r="O25" s="4">
        <f>MAX(U16:U19)+C10</f>
        <v>165</v>
      </c>
      <c r="P25" s="3">
        <f>MAX(U16:U18)+C11</f>
        <v>160</v>
      </c>
      <c r="Q25" s="4">
        <f>MAX(U16:U17)+C12</f>
        <v>155</v>
      </c>
      <c r="R25" s="4">
        <f>MAX(U16)+C13</f>
        <v>120</v>
      </c>
      <c r="S25" s="4">
        <f>MAX(M25:R25)</f>
        <v>170</v>
      </c>
      <c r="T25" s="4">
        <v>1</v>
      </c>
    </row>
    <row r="26" spans="1:22" x14ac:dyDescent="0.2">
      <c r="A26" t="s">
        <v>7</v>
      </c>
      <c r="B26">
        <v>165</v>
      </c>
    </row>
    <row r="28" spans="1:22" x14ac:dyDescent="0.2">
      <c r="N28" t="s">
        <v>5</v>
      </c>
      <c r="O28">
        <v>1</v>
      </c>
      <c r="P28">
        <v>2</v>
      </c>
      <c r="Q28">
        <v>3</v>
      </c>
    </row>
    <row r="29" spans="1:22" x14ac:dyDescent="0.2">
      <c r="N29" t="s">
        <v>6</v>
      </c>
      <c r="O29">
        <f>T25</f>
        <v>1</v>
      </c>
      <c r="P29">
        <f>V20</f>
        <v>3</v>
      </c>
      <c r="Q29">
        <f>K16</f>
        <v>1</v>
      </c>
    </row>
    <row r="31" spans="1:22" x14ac:dyDescent="0.2">
      <c r="N31" t="s">
        <v>7</v>
      </c>
      <c r="O31">
        <f>S25</f>
        <v>170</v>
      </c>
    </row>
    <row r="33" spans="1:21" x14ac:dyDescent="0.2">
      <c r="A33" s="2" t="s">
        <v>22</v>
      </c>
    </row>
    <row r="35" spans="1:21" x14ac:dyDescent="0.2">
      <c r="A35" t="s">
        <v>2</v>
      </c>
      <c r="B35" t="s">
        <v>3</v>
      </c>
      <c r="C35">
        <v>1</v>
      </c>
      <c r="D35">
        <v>2</v>
      </c>
      <c r="E35">
        <v>3</v>
      </c>
    </row>
    <row r="36" spans="1:21" x14ac:dyDescent="0.2">
      <c r="B36">
        <v>0</v>
      </c>
      <c r="C36">
        <v>0</v>
      </c>
      <c r="D36" s="2">
        <v>0.2</v>
      </c>
      <c r="E36">
        <v>0.3</v>
      </c>
      <c r="I36" s="3" t="s">
        <v>11</v>
      </c>
      <c r="J36" s="3" t="s">
        <v>12</v>
      </c>
      <c r="K36" s="3" t="s">
        <v>13</v>
      </c>
      <c r="M36" s="3" t="s">
        <v>15</v>
      </c>
      <c r="N36" s="5" t="s">
        <v>14</v>
      </c>
      <c r="O36" s="6"/>
      <c r="P36" s="6"/>
      <c r="Q36" s="6"/>
      <c r="R36" s="6"/>
      <c r="S36" s="6"/>
      <c r="T36" s="6"/>
      <c r="U36" s="4"/>
    </row>
    <row r="37" spans="1:21" x14ac:dyDescent="0.2">
      <c r="B37">
        <v>1</v>
      </c>
      <c r="C37">
        <v>0.2</v>
      </c>
      <c r="D37" s="2">
        <v>0.4</v>
      </c>
      <c r="E37">
        <v>0.5</v>
      </c>
      <c r="I37" s="4">
        <v>0</v>
      </c>
      <c r="J37" s="4">
        <f>E36</f>
        <v>0.3</v>
      </c>
      <c r="K37" s="4">
        <v>0</v>
      </c>
      <c r="M37" s="3" t="s">
        <v>16</v>
      </c>
      <c r="N37" s="4">
        <v>0</v>
      </c>
      <c r="O37" s="4">
        <v>1</v>
      </c>
      <c r="P37" s="4">
        <v>2</v>
      </c>
      <c r="Q37" s="4">
        <v>3</v>
      </c>
      <c r="R37" s="4">
        <v>4</v>
      </c>
      <c r="S37" s="4">
        <v>5</v>
      </c>
      <c r="T37" s="3" t="s">
        <v>17</v>
      </c>
      <c r="U37" s="3" t="s">
        <v>15</v>
      </c>
    </row>
    <row r="38" spans="1:21" x14ac:dyDescent="0.2">
      <c r="B38">
        <v>2</v>
      </c>
      <c r="C38">
        <v>0.3</v>
      </c>
      <c r="D38" s="2">
        <v>0.5</v>
      </c>
      <c r="E38">
        <v>0.6</v>
      </c>
      <c r="I38" s="4">
        <v>1</v>
      </c>
      <c r="J38" s="3">
        <f>E37</f>
        <v>0.5</v>
      </c>
      <c r="K38" s="4">
        <v>1</v>
      </c>
      <c r="M38" s="4">
        <v>0</v>
      </c>
      <c r="N38" s="4">
        <f>J37*D36</f>
        <v>0.06</v>
      </c>
      <c r="O38" s="4"/>
      <c r="P38" s="4"/>
      <c r="Q38" s="4"/>
      <c r="R38" s="4"/>
      <c r="S38" s="4"/>
      <c r="T38" s="4">
        <f>MAX(N38:S38)</f>
        <v>0.06</v>
      </c>
      <c r="U38" s="4">
        <v>0</v>
      </c>
    </row>
    <row r="39" spans="1:21" x14ac:dyDescent="0.2">
      <c r="B39">
        <v>3</v>
      </c>
      <c r="C39">
        <v>0.4</v>
      </c>
      <c r="D39" s="2">
        <v>0.6</v>
      </c>
      <c r="E39">
        <v>0.7</v>
      </c>
      <c r="I39" s="4">
        <v>2</v>
      </c>
      <c r="J39" s="4">
        <f>E38</f>
        <v>0.6</v>
      </c>
      <c r="K39" s="4">
        <v>2</v>
      </c>
      <c r="M39" s="4">
        <v>1</v>
      </c>
      <c r="N39" s="4">
        <f>J38*D36</f>
        <v>0.1</v>
      </c>
      <c r="O39" s="4">
        <f>D37*J37</f>
        <v>0.12</v>
      </c>
      <c r="P39" s="4"/>
      <c r="Q39" s="4"/>
      <c r="R39" s="4"/>
      <c r="S39" s="4"/>
      <c r="T39" s="4">
        <f t="shared" ref="T39:T42" si="3">MAX(N39:S39)</f>
        <v>0.12</v>
      </c>
      <c r="U39" s="4">
        <v>1</v>
      </c>
    </row>
    <row r="40" spans="1:21" x14ac:dyDescent="0.2">
      <c r="B40">
        <v>4</v>
      </c>
      <c r="C40">
        <v>0.5</v>
      </c>
      <c r="D40">
        <v>0</v>
      </c>
      <c r="E40">
        <v>0</v>
      </c>
      <c r="I40" s="4">
        <v>3</v>
      </c>
      <c r="J40" s="4">
        <f>E39</f>
        <v>0.7</v>
      </c>
      <c r="K40" s="4">
        <v>3</v>
      </c>
      <c r="M40" s="4">
        <v>2</v>
      </c>
      <c r="N40" s="4">
        <f>J39*D36</f>
        <v>0.12</v>
      </c>
      <c r="O40" s="4">
        <f>J38*D37</f>
        <v>0.2</v>
      </c>
      <c r="P40" s="4">
        <f>D38*J37</f>
        <v>0.15</v>
      </c>
      <c r="Q40" s="4"/>
      <c r="R40" s="4"/>
      <c r="S40" s="4"/>
      <c r="T40" s="4">
        <f t="shared" si="3"/>
        <v>0.2</v>
      </c>
      <c r="U40" s="3">
        <v>1</v>
      </c>
    </row>
    <row r="41" spans="1:21" x14ac:dyDescent="0.2">
      <c r="I41" s="4">
        <v>4</v>
      </c>
      <c r="J41" s="4">
        <f>E40</f>
        <v>0</v>
      </c>
      <c r="K41" s="4">
        <v>4</v>
      </c>
      <c r="M41" s="4">
        <v>3</v>
      </c>
      <c r="N41" s="4">
        <f>J40*D36</f>
        <v>0.13999999999999999</v>
      </c>
      <c r="O41" s="4">
        <f>D37*J39</f>
        <v>0.24</v>
      </c>
      <c r="P41" s="4">
        <f>D38*J38</f>
        <v>0.25</v>
      </c>
      <c r="Q41" s="4">
        <f>D39*J37</f>
        <v>0.18</v>
      </c>
      <c r="R41" s="4"/>
      <c r="S41" s="4"/>
      <c r="T41" s="4">
        <f t="shared" si="3"/>
        <v>0.25</v>
      </c>
      <c r="U41" s="4">
        <v>2</v>
      </c>
    </row>
    <row r="42" spans="1:21" x14ac:dyDescent="0.2">
      <c r="I42" s="4"/>
      <c r="J42" s="4"/>
      <c r="K42" s="4"/>
      <c r="M42" s="4">
        <v>4</v>
      </c>
      <c r="N42" s="4">
        <f>J41</f>
        <v>0</v>
      </c>
      <c r="O42" s="4"/>
      <c r="P42" s="4"/>
      <c r="Q42" s="4"/>
      <c r="R42" s="4">
        <f>C34</f>
        <v>0</v>
      </c>
      <c r="S42" s="4"/>
      <c r="T42" s="4">
        <f t="shared" si="3"/>
        <v>0</v>
      </c>
      <c r="U42" s="4"/>
    </row>
    <row r="45" spans="1:21" x14ac:dyDescent="0.2">
      <c r="I45" s="3" t="s">
        <v>19</v>
      </c>
      <c r="J45" s="5" t="s">
        <v>21</v>
      </c>
      <c r="K45" s="6"/>
      <c r="L45" s="6"/>
      <c r="M45" s="6"/>
      <c r="N45" s="6"/>
      <c r="O45" s="6"/>
      <c r="P45" s="6"/>
      <c r="Q45" s="4"/>
    </row>
    <row r="46" spans="1:21" x14ac:dyDescent="0.2">
      <c r="I46" s="3" t="s">
        <v>20</v>
      </c>
      <c r="J46" s="4">
        <v>0</v>
      </c>
      <c r="K46" s="4">
        <v>1</v>
      </c>
      <c r="L46" s="4">
        <v>2</v>
      </c>
      <c r="M46" s="4">
        <v>3</v>
      </c>
      <c r="N46" s="4">
        <v>4</v>
      </c>
      <c r="O46" s="4"/>
      <c r="P46" s="3" t="s">
        <v>17</v>
      </c>
      <c r="Q46" s="3" t="s">
        <v>15</v>
      </c>
    </row>
    <row r="47" spans="1:21" x14ac:dyDescent="0.2">
      <c r="I47" s="4">
        <v>4</v>
      </c>
      <c r="J47" s="4">
        <v>0</v>
      </c>
      <c r="K47" s="4">
        <f>C37*T41</f>
        <v>0.05</v>
      </c>
      <c r="L47" s="4">
        <f>C38*T40</f>
        <v>0.06</v>
      </c>
      <c r="M47" s="3">
        <f>C39*T39</f>
        <v>4.8000000000000001E-2</v>
      </c>
      <c r="N47" s="4">
        <f>C40*T38</f>
        <v>0.03</v>
      </c>
      <c r="O47" s="4"/>
      <c r="P47" s="4">
        <f>MAX(J47:O47)</f>
        <v>0.06</v>
      </c>
      <c r="Q47" s="4">
        <f>L46</f>
        <v>2</v>
      </c>
    </row>
    <row r="52" spans="9:12" x14ac:dyDescent="0.2">
      <c r="I52" t="s">
        <v>5</v>
      </c>
      <c r="J52">
        <v>1</v>
      </c>
      <c r="K52">
        <v>2</v>
      </c>
      <c r="L52">
        <v>3</v>
      </c>
    </row>
    <row r="53" spans="9:12" x14ac:dyDescent="0.2">
      <c r="I53" t="s">
        <v>6</v>
      </c>
      <c r="J53">
        <f>Q47</f>
        <v>2</v>
      </c>
      <c r="K53">
        <f>O37</f>
        <v>1</v>
      </c>
      <c r="L53">
        <f>K38</f>
        <v>1</v>
      </c>
    </row>
    <row r="55" spans="9:12" x14ac:dyDescent="0.2">
      <c r="I55" t="s">
        <v>7</v>
      </c>
      <c r="J55">
        <f>P47</f>
        <v>0.06</v>
      </c>
    </row>
  </sheetData>
  <mergeCells count="4">
    <mergeCell ref="O14:U14"/>
    <mergeCell ref="M23:S23"/>
    <mergeCell ref="N36:T36"/>
    <mergeCell ref="J45:P45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L26"/>
  <sheetViews>
    <sheetView workbookViewId="0">
      <selection activeCell="M18" sqref="M18"/>
    </sheetView>
  </sheetViews>
  <sheetFormatPr defaultColWidth="8.85546875" defaultRowHeight="12.75" x14ac:dyDescent="0.2"/>
  <cols>
    <col min="1" max="1" width="23.85546875" customWidth="1"/>
  </cols>
  <sheetData>
    <row r="2" spans="1:12" ht="15.75" x14ac:dyDescent="0.25">
      <c r="A2" s="1" t="s">
        <v>8</v>
      </c>
    </row>
    <row r="3" spans="1:12" x14ac:dyDescent="0.2">
      <c r="A3" t="s">
        <v>0</v>
      </c>
      <c r="B3">
        <v>2</v>
      </c>
    </row>
    <row r="4" spans="1:12" x14ac:dyDescent="0.2">
      <c r="A4" t="s">
        <v>1</v>
      </c>
      <c r="B4">
        <v>4</v>
      </c>
    </row>
    <row r="7" spans="1:12" x14ac:dyDescent="0.2">
      <c r="A7" t="s">
        <v>2</v>
      </c>
      <c r="B7" t="s">
        <v>3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L7" s="2"/>
    </row>
    <row r="8" spans="1:12" x14ac:dyDescent="0.2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12" x14ac:dyDescent="0.2">
      <c r="B9">
        <v>1</v>
      </c>
      <c r="C9">
        <v>4</v>
      </c>
      <c r="D9">
        <v>6</v>
      </c>
      <c r="E9">
        <v>5</v>
      </c>
      <c r="F9">
        <v>3</v>
      </c>
      <c r="G9">
        <v>40</v>
      </c>
      <c r="H9">
        <v>40</v>
      </c>
    </row>
    <row r="10" spans="1:12" x14ac:dyDescent="0.2">
      <c r="B10">
        <v>2</v>
      </c>
      <c r="C10">
        <v>7</v>
      </c>
      <c r="D10">
        <v>8</v>
      </c>
      <c r="E10">
        <v>9</v>
      </c>
      <c r="F10">
        <v>7</v>
      </c>
      <c r="G10">
        <v>70</v>
      </c>
      <c r="H10">
        <v>65</v>
      </c>
    </row>
    <row r="11" spans="1:12" x14ac:dyDescent="0.2">
      <c r="B11">
        <v>3</v>
      </c>
      <c r="C11">
        <v>9</v>
      </c>
      <c r="D11">
        <v>10</v>
      </c>
      <c r="E11">
        <v>11</v>
      </c>
      <c r="F11">
        <v>12</v>
      </c>
      <c r="G11">
        <v>90</v>
      </c>
      <c r="H11">
        <v>80</v>
      </c>
    </row>
    <row r="12" spans="1:12" x14ac:dyDescent="0.2">
      <c r="B12">
        <v>4</v>
      </c>
      <c r="C12">
        <v>12</v>
      </c>
      <c r="D12">
        <v>11</v>
      </c>
      <c r="E12">
        <v>10</v>
      </c>
      <c r="F12">
        <v>14</v>
      </c>
      <c r="G12">
        <v>110</v>
      </c>
      <c r="H12">
        <v>90</v>
      </c>
    </row>
    <row r="13" spans="1:12" x14ac:dyDescent="0.2">
      <c r="B13">
        <v>5</v>
      </c>
      <c r="C13">
        <v>15</v>
      </c>
      <c r="D13">
        <v>12</v>
      </c>
      <c r="E13">
        <v>9</v>
      </c>
      <c r="F13">
        <v>16</v>
      </c>
      <c r="G13">
        <v>130</v>
      </c>
      <c r="H13">
        <v>100</v>
      </c>
    </row>
    <row r="14" spans="1:12" x14ac:dyDescent="0.2">
      <c r="B14">
        <v>6</v>
      </c>
      <c r="C14">
        <v>140</v>
      </c>
      <c r="D14">
        <v>160</v>
      </c>
      <c r="E14">
        <v>140</v>
      </c>
      <c r="F14">
        <v>130</v>
      </c>
      <c r="G14">
        <v>150</v>
      </c>
      <c r="H14">
        <v>110</v>
      </c>
    </row>
    <row r="15" spans="1:12" x14ac:dyDescent="0.2">
      <c r="B15">
        <v>7</v>
      </c>
      <c r="C15">
        <v>150</v>
      </c>
      <c r="D15">
        <v>165</v>
      </c>
      <c r="E15">
        <v>145</v>
      </c>
      <c r="F15">
        <v>135</v>
      </c>
      <c r="G15">
        <v>160</v>
      </c>
      <c r="H15">
        <v>130</v>
      </c>
    </row>
    <row r="16" spans="1:12" x14ac:dyDescent="0.2">
      <c r="B16">
        <v>8</v>
      </c>
      <c r="C16">
        <v>155</v>
      </c>
      <c r="D16">
        <v>170</v>
      </c>
      <c r="E16">
        <v>150</v>
      </c>
      <c r="F16">
        <v>140</v>
      </c>
      <c r="G16">
        <v>165</v>
      </c>
      <c r="H16">
        <v>140</v>
      </c>
    </row>
    <row r="17" spans="1:8" x14ac:dyDescent="0.2">
      <c r="B17">
        <v>9</v>
      </c>
      <c r="C17">
        <v>160</v>
      </c>
      <c r="D17">
        <v>180</v>
      </c>
      <c r="E17">
        <v>155</v>
      </c>
      <c r="F17">
        <v>145</v>
      </c>
      <c r="G17">
        <v>170</v>
      </c>
      <c r="H17">
        <v>145</v>
      </c>
    </row>
    <row r="18" spans="1:8" x14ac:dyDescent="0.2">
      <c r="B18">
        <v>10</v>
      </c>
      <c r="C18">
        <v>165</v>
      </c>
      <c r="D18">
        <v>180</v>
      </c>
      <c r="E18">
        <v>160</v>
      </c>
      <c r="F18">
        <v>150</v>
      </c>
      <c r="G18">
        <v>175</v>
      </c>
      <c r="H18">
        <v>150</v>
      </c>
    </row>
    <row r="22" spans="1:8" ht="15.75" x14ac:dyDescent="0.25">
      <c r="A22" s="1" t="s">
        <v>4</v>
      </c>
    </row>
    <row r="23" spans="1:8" x14ac:dyDescent="0.2">
      <c r="B23" t="s">
        <v>5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</row>
    <row r="24" spans="1:8" x14ac:dyDescent="0.2">
      <c r="B24" t="s">
        <v>6</v>
      </c>
      <c r="C24">
        <v>0</v>
      </c>
      <c r="D24">
        <v>1</v>
      </c>
      <c r="E24">
        <v>1</v>
      </c>
      <c r="F24">
        <v>0</v>
      </c>
    </row>
    <row r="26" spans="1:8" x14ac:dyDescent="0.2">
      <c r="A26" t="s">
        <v>7</v>
      </c>
      <c r="B26">
        <v>11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F8AF-02AA-405A-8C41-4AF0790C6C33}">
  <dimension ref="A1:H21"/>
  <sheetViews>
    <sheetView showGridLines="0" workbookViewId="0"/>
  </sheetViews>
  <sheetFormatPr defaultRowHeight="12.75" outlineLevelRow="1" x14ac:dyDescent="0.2"/>
  <cols>
    <col min="1" max="1" width="2.28515625" customWidth="1"/>
    <col min="2" max="2" width="6.42578125" bestFit="1" customWidth="1"/>
    <col min="3" max="3" width="29.85546875" bestFit="1" customWidth="1"/>
    <col min="4" max="4" width="12" bestFit="1" customWidth="1"/>
    <col min="5" max="5" width="12.5703125" bestFit="1" customWidth="1"/>
    <col min="6" max="6" width="13.140625" bestFit="1" customWidth="1"/>
    <col min="7" max="8" width="12" bestFit="1" customWidth="1"/>
  </cols>
  <sheetData>
    <row r="1" spans="1:8" x14ac:dyDescent="0.2">
      <c r="A1" s="7" t="s">
        <v>43</v>
      </c>
    </row>
    <row r="2" spans="1:8" x14ac:dyDescent="0.2">
      <c r="A2" s="7" t="s">
        <v>44</v>
      </c>
    </row>
    <row r="3" spans="1:8" x14ac:dyDescent="0.2">
      <c r="A3" s="7" t="s">
        <v>45</v>
      </c>
    </row>
    <row r="6" spans="1:8" ht="13.5" thickBot="1" x14ac:dyDescent="0.25">
      <c r="A6" t="s">
        <v>46</v>
      </c>
    </row>
    <row r="7" spans="1:8" x14ac:dyDescent="0.2">
      <c r="B7" s="11"/>
      <c r="C7" s="11"/>
      <c r="D7" s="11" t="s">
        <v>49</v>
      </c>
      <c r="E7" s="11" t="s">
        <v>51</v>
      </c>
      <c r="F7" s="11" t="s">
        <v>53</v>
      </c>
      <c r="G7" s="11" t="s">
        <v>55</v>
      </c>
      <c r="H7" s="11" t="s">
        <v>55</v>
      </c>
    </row>
    <row r="8" spans="1:8" ht="13.5" thickBot="1" x14ac:dyDescent="0.25">
      <c r="B8" s="12" t="s">
        <v>47</v>
      </c>
      <c r="C8" s="12" t="s">
        <v>48</v>
      </c>
      <c r="D8" s="12" t="s">
        <v>50</v>
      </c>
      <c r="E8" s="12" t="s">
        <v>52</v>
      </c>
      <c r="F8" s="12" t="s">
        <v>54</v>
      </c>
      <c r="G8" s="12" t="s">
        <v>56</v>
      </c>
      <c r="H8" s="12" t="s">
        <v>57</v>
      </c>
    </row>
    <row r="9" spans="1:8" x14ac:dyDescent="0.2">
      <c r="B9" s="14" t="s">
        <v>77</v>
      </c>
      <c r="C9" s="13"/>
      <c r="D9" s="13"/>
      <c r="E9" s="13"/>
      <c r="F9" s="13"/>
      <c r="G9" s="13"/>
      <c r="H9" s="13"/>
    </row>
    <row r="10" spans="1:8" hidden="1" outlineLevel="1" x14ac:dyDescent="0.2">
      <c r="B10" s="9" t="s">
        <v>63</v>
      </c>
      <c r="C10" s="9" t="s">
        <v>64</v>
      </c>
      <c r="D10" s="9">
        <v>533.33333333333326</v>
      </c>
      <c r="E10" s="9">
        <v>0</v>
      </c>
      <c r="F10" s="9">
        <v>16</v>
      </c>
      <c r="G10" s="9">
        <v>1E+30</v>
      </c>
      <c r="H10" s="9">
        <v>3.9999999999999991</v>
      </c>
    </row>
    <row r="11" spans="1:8" hidden="1" outlineLevel="1" x14ac:dyDescent="0.2">
      <c r="B11" s="9" t="s">
        <v>65</v>
      </c>
      <c r="C11" s="9" t="s">
        <v>66</v>
      </c>
      <c r="D11" s="9">
        <v>200</v>
      </c>
      <c r="E11" s="9">
        <v>0</v>
      </c>
      <c r="F11" s="9">
        <v>15</v>
      </c>
      <c r="G11" s="9">
        <v>6.3333333333333321</v>
      </c>
      <c r="H11" s="9">
        <v>1E+30</v>
      </c>
    </row>
    <row r="12" spans="1:8" hidden="1" outlineLevel="1" x14ac:dyDescent="0.2">
      <c r="B12" s="9" t="s">
        <v>67</v>
      </c>
      <c r="C12" s="9" t="s">
        <v>68</v>
      </c>
      <c r="D12" s="9">
        <v>0</v>
      </c>
      <c r="E12" s="9">
        <v>-6.6666666666666643</v>
      </c>
      <c r="F12" s="9">
        <v>20</v>
      </c>
      <c r="G12" s="9">
        <v>6.6666666666666643</v>
      </c>
      <c r="H12" s="9">
        <v>1E+30</v>
      </c>
    </row>
    <row r="13" spans="1:8" ht="13.5" hidden="1" outlineLevel="1" thickBot="1" x14ac:dyDescent="0.25">
      <c r="B13" s="10" t="s">
        <v>69</v>
      </c>
      <c r="C13" s="10" t="s">
        <v>70</v>
      </c>
      <c r="D13" s="10">
        <v>0</v>
      </c>
      <c r="E13" s="10">
        <v>-10</v>
      </c>
      <c r="F13" s="10">
        <v>22</v>
      </c>
      <c r="G13" s="10">
        <v>10</v>
      </c>
      <c r="H13" s="10">
        <v>1E+30</v>
      </c>
    </row>
    <row r="14" spans="1:8" collapsed="1" x14ac:dyDescent="0.2">
      <c r="B14" s="8"/>
      <c r="C14" s="8"/>
      <c r="D14" s="8"/>
      <c r="E14" s="8"/>
      <c r="F14" s="8"/>
      <c r="G14" s="8"/>
      <c r="H14" s="8"/>
    </row>
    <row r="16" spans="1:8" ht="13.5" thickBot="1" x14ac:dyDescent="0.25">
      <c r="A16" t="s">
        <v>58</v>
      </c>
    </row>
    <row r="17" spans="2:8" x14ac:dyDescent="0.2">
      <c r="B17" s="11"/>
      <c r="C17" s="11"/>
      <c r="D17" s="11" t="s">
        <v>49</v>
      </c>
      <c r="E17" s="11" t="s">
        <v>59</v>
      </c>
      <c r="F17" s="11" t="s">
        <v>61</v>
      </c>
      <c r="G17" s="11" t="s">
        <v>55</v>
      </c>
      <c r="H17" s="11" t="s">
        <v>55</v>
      </c>
    </row>
    <row r="18" spans="2:8" ht="13.5" thickBot="1" x14ac:dyDescent="0.25">
      <c r="B18" s="12" t="s">
        <v>47</v>
      </c>
      <c r="C18" s="12" t="s">
        <v>48</v>
      </c>
      <c r="D18" s="12" t="s">
        <v>50</v>
      </c>
      <c r="E18" s="12" t="s">
        <v>60</v>
      </c>
      <c r="F18" s="12" t="s">
        <v>62</v>
      </c>
      <c r="G18" s="12" t="s">
        <v>56</v>
      </c>
      <c r="H18" s="12" t="s">
        <v>57</v>
      </c>
    </row>
    <row r="19" spans="2:8" x14ac:dyDescent="0.2">
      <c r="B19" s="9" t="s">
        <v>71</v>
      </c>
      <c r="C19" s="9" t="s">
        <v>72</v>
      </c>
      <c r="D19" s="9">
        <v>2400</v>
      </c>
      <c r="E19" s="9">
        <v>5.333333333333333</v>
      </c>
      <c r="F19" s="9">
        <v>2400</v>
      </c>
      <c r="G19" s="9">
        <v>350.00000000000023</v>
      </c>
      <c r="H19" s="9">
        <v>1599.9999999999998</v>
      </c>
    </row>
    <row r="20" spans="2:8" x14ac:dyDescent="0.2">
      <c r="B20" s="9" t="s">
        <v>73</v>
      </c>
      <c r="C20" s="9" t="s">
        <v>74</v>
      </c>
      <c r="D20" s="9">
        <v>1266.6666666666665</v>
      </c>
      <c r="E20" s="9">
        <v>0</v>
      </c>
      <c r="F20" s="9">
        <v>1500</v>
      </c>
      <c r="G20" s="9">
        <v>1E+30</v>
      </c>
      <c r="H20" s="9">
        <v>233.33333333333348</v>
      </c>
    </row>
    <row r="21" spans="2:8" ht="13.5" thickBot="1" x14ac:dyDescent="0.25">
      <c r="B21" s="10" t="s">
        <v>75</v>
      </c>
      <c r="C21" s="10" t="s">
        <v>76</v>
      </c>
      <c r="D21" s="10">
        <v>200</v>
      </c>
      <c r="E21" s="10">
        <v>-6.3333333333333321</v>
      </c>
      <c r="F21" s="10">
        <v>200</v>
      </c>
      <c r="G21" s="10">
        <v>399.99999999999994</v>
      </c>
      <c r="H21" s="10">
        <v>140.00000000000011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0AFE-AFE2-4A62-A82A-12192F7E9AE1}">
  <dimension ref="A1:H21"/>
  <sheetViews>
    <sheetView showGridLines="0" workbookViewId="0"/>
  </sheetViews>
  <sheetFormatPr defaultRowHeight="12.75" x14ac:dyDescent="0.2"/>
  <cols>
    <col min="1" max="1" width="2.28515625" customWidth="1"/>
    <col min="2" max="2" width="6.42578125" bestFit="1" customWidth="1"/>
    <col min="3" max="3" width="26.5703125" bestFit="1" customWidth="1"/>
    <col min="4" max="4" width="6.5703125" bestFit="1" customWidth="1"/>
    <col min="5" max="5" width="11.7109375" bestFit="1" customWidth="1"/>
    <col min="6" max="6" width="13.140625" bestFit="1" customWidth="1"/>
    <col min="7" max="8" width="12" bestFit="1" customWidth="1"/>
  </cols>
  <sheetData>
    <row r="1" spans="1:8" x14ac:dyDescent="0.2">
      <c r="A1" s="7" t="s">
        <v>43</v>
      </c>
    </row>
    <row r="2" spans="1:8" x14ac:dyDescent="0.2">
      <c r="A2" s="7" t="s">
        <v>44</v>
      </c>
    </row>
    <row r="3" spans="1:8" x14ac:dyDescent="0.2">
      <c r="A3" s="7" t="s">
        <v>81</v>
      </c>
    </row>
    <row r="6" spans="1:8" ht="13.5" thickBot="1" x14ac:dyDescent="0.25">
      <c r="A6" t="s">
        <v>46</v>
      </c>
    </row>
    <row r="7" spans="1:8" x14ac:dyDescent="0.2">
      <c r="B7" s="11"/>
      <c r="C7" s="11"/>
      <c r="D7" s="11" t="s">
        <v>49</v>
      </c>
      <c r="E7" s="11" t="s">
        <v>51</v>
      </c>
      <c r="F7" s="11" t="s">
        <v>53</v>
      </c>
      <c r="G7" s="11" t="s">
        <v>55</v>
      </c>
      <c r="H7" s="11" t="s">
        <v>55</v>
      </c>
    </row>
    <row r="8" spans="1:8" ht="13.5" thickBot="1" x14ac:dyDescent="0.25">
      <c r="B8" s="12" t="s">
        <v>47</v>
      </c>
      <c r="C8" s="12" t="s">
        <v>48</v>
      </c>
      <c r="D8" s="12" t="s">
        <v>50</v>
      </c>
      <c r="E8" s="12" t="s">
        <v>52</v>
      </c>
      <c r="F8" s="12" t="s">
        <v>54</v>
      </c>
      <c r="G8" s="12" t="s">
        <v>56</v>
      </c>
      <c r="H8" s="12" t="s">
        <v>57</v>
      </c>
    </row>
    <row r="9" spans="1:8" x14ac:dyDescent="0.2">
      <c r="B9" s="9" t="s">
        <v>82</v>
      </c>
      <c r="C9" s="9" t="s">
        <v>64</v>
      </c>
      <c r="D9" s="9">
        <v>600</v>
      </c>
      <c r="E9" s="9">
        <v>0</v>
      </c>
      <c r="F9" s="9">
        <v>16</v>
      </c>
      <c r="G9" s="9">
        <v>14</v>
      </c>
      <c r="H9" s="9">
        <v>3.8571428571428559</v>
      </c>
    </row>
    <row r="10" spans="1:8" x14ac:dyDescent="0.2">
      <c r="B10" s="9" t="s">
        <v>83</v>
      </c>
      <c r="C10" s="9" t="s">
        <v>66</v>
      </c>
      <c r="D10" s="9">
        <v>299.99999999999989</v>
      </c>
      <c r="E10" s="9">
        <v>0</v>
      </c>
      <c r="F10" s="9">
        <v>15</v>
      </c>
      <c r="G10" s="9">
        <v>6.3333333333333304</v>
      </c>
      <c r="H10" s="9">
        <v>7</v>
      </c>
    </row>
    <row r="11" spans="1:8" x14ac:dyDescent="0.2">
      <c r="B11" s="9" t="s">
        <v>84</v>
      </c>
      <c r="C11" s="9" t="s">
        <v>68</v>
      </c>
      <c r="D11" s="9">
        <v>0</v>
      </c>
      <c r="E11" s="9">
        <v>-5.3999999999999986</v>
      </c>
      <c r="F11" s="9">
        <v>20</v>
      </c>
      <c r="G11" s="9">
        <v>5.3999999999999986</v>
      </c>
      <c r="H11" s="9">
        <v>1E+30</v>
      </c>
    </row>
    <row r="12" spans="1:8" x14ac:dyDescent="0.2">
      <c r="B12" s="9" t="s">
        <v>85</v>
      </c>
      <c r="C12" s="9" t="s">
        <v>70</v>
      </c>
      <c r="D12" s="9">
        <v>0</v>
      </c>
      <c r="E12" s="9">
        <v>-10</v>
      </c>
      <c r="F12" s="9">
        <v>22</v>
      </c>
      <c r="G12" s="9">
        <v>10</v>
      </c>
      <c r="H12" s="9">
        <v>1E+30</v>
      </c>
    </row>
    <row r="13" spans="1:8" ht="13.5" thickBot="1" x14ac:dyDescent="0.25">
      <c r="B13" s="10" t="s">
        <v>86</v>
      </c>
      <c r="C13" s="10" t="s">
        <v>87</v>
      </c>
      <c r="D13" s="10">
        <v>600</v>
      </c>
      <c r="E13" s="10">
        <v>0</v>
      </c>
      <c r="F13" s="10">
        <v>0</v>
      </c>
      <c r="G13" s="10">
        <v>1E+30</v>
      </c>
      <c r="H13" s="10">
        <v>2.8000000000000003</v>
      </c>
    </row>
    <row r="15" spans="1:8" ht="13.5" thickBot="1" x14ac:dyDescent="0.25">
      <c r="A15" t="s">
        <v>58</v>
      </c>
    </row>
    <row r="16" spans="1:8" x14ac:dyDescent="0.2">
      <c r="B16" s="11"/>
      <c r="C16" s="11"/>
      <c r="D16" s="11" t="s">
        <v>49</v>
      </c>
      <c r="E16" s="11" t="s">
        <v>59</v>
      </c>
      <c r="F16" s="11" t="s">
        <v>61</v>
      </c>
      <c r="G16" s="11" t="s">
        <v>55</v>
      </c>
      <c r="H16" s="11" t="s">
        <v>55</v>
      </c>
    </row>
    <row r="17" spans="2:8" ht="13.5" thickBot="1" x14ac:dyDescent="0.25">
      <c r="B17" s="12" t="s">
        <v>47</v>
      </c>
      <c r="C17" s="12" t="s">
        <v>48</v>
      </c>
      <c r="D17" s="12" t="s">
        <v>50</v>
      </c>
      <c r="E17" s="12" t="s">
        <v>60</v>
      </c>
      <c r="F17" s="12" t="s">
        <v>62</v>
      </c>
      <c r="G17" s="12" t="s">
        <v>56</v>
      </c>
      <c r="H17" s="12" t="s">
        <v>57</v>
      </c>
    </row>
    <row r="18" spans="2:8" x14ac:dyDescent="0.2">
      <c r="B18" s="9" t="s">
        <v>88</v>
      </c>
      <c r="C18" s="9" t="s">
        <v>72</v>
      </c>
      <c r="D18" s="9">
        <v>2399.9999999999995</v>
      </c>
      <c r="E18" s="9">
        <v>2.8000000000000003</v>
      </c>
      <c r="F18" s="9">
        <v>2400</v>
      </c>
      <c r="G18" s="9">
        <v>3000</v>
      </c>
      <c r="H18" s="9">
        <v>249.99999999999977</v>
      </c>
    </row>
    <row r="19" spans="2:8" x14ac:dyDescent="0.2">
      <c r="B19" s="9" t="s">
        <v>89</v>
      </c>
      <c r="C19" s="9" t="s">
        <v>74</v>
      </c>
      <c r="D19" s="9">
        <v>1500</v>
      </c>
      <c r="E19" s="9">
        <v>3.7999999999999989</v>
      </c>
      <c r="F19" s="9">
        <v>1500</v>
      </c>
      <c r="G19" s="9">
        <v>166.66666666666649</v>
      </c>
      <c r="H19" s="9">
        <v>750</v>
      </c>
    </row>
    <row r="20" spans="2:8" x14ac:dyDescent="0.2">
      <c r="B20" s="9" t="s">
        <v>90</v>
      </c>
      <c r="C20" s="9" t="s">
        <v>91</v>
      </c>
      <c r="D20" s="9">
        <v>299.99999999999989</v>
      </c>
      <c r="E20" s="9">
        <v>0</v>
      </c>
      <c r="F20" s="9">
        <v>200</v>
      </c>
      <c r="G20" s="9">
        <v>99.999999999999915</v>
      </c>
      <c r="H20" s="9">
        <v>1E+30</v>
      </c>
    </row>
    <row r="21" spans="2:8" ht="13.5" thickBot="1" x14ac:dyDescent="0.25">
      <c r="B21" s="10" t="s">
        <v>92</v>
      </c>
      <c r="C21" s="10" t="s">
        <v>93</v>
      </c>
      <c r="D21" s="10">
        <v>600</v>
      </c>
      <c r="E21" s="10">
        <v>2.8000000000000003</v>
      </c>
      <c r="F21" s="10">
        <v>600</v>
      </c>
      <c r="G21" s="10">
        <v>3000</v>
      </c>
      <c r="H21" s="10">
        <v>249.99999999999977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AL27"/>
  <sheetViews>
    <sheetView tabSelected="1" topLeftCell="R1" workbookViewId="0">
      <selection activeCell="AD18" sqref="AD18"/>
    </sheetView>
  </sheetViews>
  <sheetFormatPr defaultColWidth="8.85546875" defaultRowHeight="12.75" x14ac:dyDescent="0.2"/>
  <cols>
    <col min="3" max="3" width="20.7109375" customWidth="1"/>
    <col min="6" max="6" width="19.7109375" customWidth="1"/>
    <col min="8" max="8" width="14.5703125" customWidth="1"/>
    <col min="29" max="29" width="18.85546875" customWidth="1"/>
  </cols>
  <sheetData>
    <row r="4" spans="2:38" x14ac:dyDescent="0.2">
      <c r="D4" s="2" t="s">
        <v>23</v>
      </c>
      <c r="E4" s="2" t="s">
        <v>24</v>
      </c>
      <c r="F4" s="2" t="s">
        <v>25</v>
      </c>
      <c r="G4" s="2" t="s">
        <v>26</v>
      </c>
      <c r="H4" s="2" t="s">
        <v>78</v>
      </c>
      <c r="I4" s="2" t="s">
        <v>30</v>
      </c>
      <c r="K4" s="2" t="s">
        <v>31</v>
      </c>
      <c r="AD4" s="2" t="s">
        <v>23</v>
      </c>
      <c r="AE4" s="2" t="s">
        <v>24</v>
      </c>
      <c r="AF4" s="2" t="s">
        <v>25</v>
      </c>
      <c r="AG4" s="2" t="s">
        <v>26</v>
      </c>
      <c r="AH4" s="2" t="s">
        <v>78</v>
      </c>
      <c r="AI4" s="2" t="s">
        <v>30</v>
      </c>
      <c r="AK4" s="2" t="s">
        <v>31</v>
      </c>
    </row>
    <row r="5" spans="2:38" x14ac:dyDescent="0.2">
      <c r="B5" s="2"/>
      <c r="C5" s="2" t="s">
        <v>27</v>
      </c>
      <c r="D5">
        <v>3</v>
      </c>
      <c r="E5">
        <v>4</v>
      </c>
      <c r="F5">
        <v>5</v>
      </c>
      <c r="G5">
        <v>6</v>
      </c>
      <c r="H5">
        <v>-1</v>
      </c>
      <c r="I5">
        <f>SUMPRODUCT(D5:H5,D12:H12)</f>
        <v>2399.9999999999995</v>
      </c>
      <c r="K5" s="2" t="s">
        <v>32</v>
      </c>
      <c r="L5" s="2">
        <f>40*60</f>
        <v>2400</v>
      </c>
      <c r="AC5" s="2" t="s">
        <v>27</v>
      </c>
      <c r="AD5">
        <v>3</v>
      </c>
      <c r="AE5">
        <v>4</v>
      </c>
      <c r="AF5">
        <v>5</v>
      </c>
      <c r="AG5">
        <v>6</v>
      </c>
      <c r="AH5">
        <v>-1</v>
      </c>
      <c r="AI5">
        <f>SUMPRODUCT(AD5:AH5,AD12:AH12)</f>
        <v>2400</v>
      </c>
      <c r="AK5" s="2" t="s">
        <v>32</v>
      </c>
      <c r="AL5" s="2">
        <f>40*60</f>
        <v>2400</v>
      </c>
    </row>
    <row r="6" spans="2:38" x14ac:dyDescent="0.2">
      <c r="B6" s="2"/>
      <c r="C6" s="2" t="s">
        <v>28</v>
      </c>
      <c r="D6">
        <v>2</v>
      </c>
      <c r="E6">
        <v>1</v>
      </c>
      <c r="F6">
        <v>3</v>
      </c>
      <c r="G6">
        <v>4</v>
      </c>
      <c r="I6">
        <f>SUMPRODUCT(D6:H6,D12:H12)</f>
        <v>1500</v>
      </c>
      <c r="K6" s="2" t="s">
        <v>32</v>
      </c>
      <c r="L6">
        <v>1500</v>
      </c>
      <c r="AC6" s="2" t="s">
        <v>28</v>
      </c>
      <c r="AD6">
        <v>2</v>
      </c>
      <c r="AE6">
        <v>1</v>
      </c>
      <c r="AF6">
        <v>3</v>
      </c>
      <c r="AG6">
        <v>4</v>
      </c>
      <c r="AI6">
        <f>SUMPRODUCT(AD6:AH6,AD12:AH12)</f>
        <v>1499.9999999999998</v>
      </c>
      <c r="AK6" s="2" t="s">
        <v>32</v>
      </c>
      <c r="AL6">
        <v>1500</v>
      </c>
    </row>
    <row r="7" spans="2:38" x14ac:dyDescent="0.2">
      <c r="B7" s="2"/>
      <c r="C7" s="2" t="s">
        <v>79</v>
      </c>
      <c r="E7">
        <v>1</v>
      </c>
      <c r="I7">
        <f>SUMPRODUCT(D7:G7,D12:G12)</f>
        <v>299.99999999999989</v>
      </c>
      <c r="K7" s="2" t="s">
        <v>33</v>
      </c>
      <c r="L7">
        <v>200</v>
      </c>
      <c r="AC7" s="2" t="s">
        <v>79</v>
      </c>
      <c r="AE7">
        <v>1</v>
      </c>
      <c r="AI7">
        <f>SUMPRODUCT(AD7:AG7,AD12:AG12)</f>
        <v>288.46153846153845</v>
      </c>
      <c r="AK7" s="2" t="s">
        <v>33</v>
      </c>
      <c r="AL7">
        <v>200</v>
      </c>
    </row>
    <row r="8" spans="2:38" x14ac:dyDescent="0.2">
      <c r="C8" s="2" t="s">
        <v>80</v>
      </c>
      <c r="H8">
        <v>1</v>
      </c>
      <c r="I8">
        <f>SUMPRODUCT(D8:H8,D12:H12)</f>
        <v>600</v>
      </c>
      <c r="K8" s="2" t="s">
        <v>32</v>
      </c>
      <c r="L8">
        <v>600</v>
      </c>
      <c r="AC8" s="2" t="s">
        <v>80</v>
      </c>
      <c r="AH8">
        <v>1</v>
      </c>
      <c r="AI8">
        <f>SUMPRODUCT(AD8:AH8,AD12:AH12)</f>
        <v>600</v>
      </c>
      <c r="AK8" s="2" t="s">
        <v>32</v>
      </c>
      <c r="AL8">
        <v>600</v>
      </c>
    </row>
    <row r="9" spans="2:38" x14ac:dyDescent="0.2">
      <c r="AC9" s="2" t="s">
        <v>94</v>
      </c>
      <c r="AD9" s="2">
        <v>0.4</v>
      </c>
      <c r="AE9">
        <v>-0.6</v>
      </c>
      <c r="AF9">
        <v>-0.6</v>
      </c>
      <c r="AG9">
        <v>-0.6</v>
      </c>
      <c r="AI9">
        <f>SUMPRODUCT(AD9:AH9,AD12:AH12)</f>
        <v>0</v>
      </c>
      <c r="AK9" s="2" t="s">
        <v>32</v>
      </c>
      <c r="AL9">
        <v>0</v>
      </c>
    </row>
    <row r="10" spans="2:38" x14ac:dyDescent="0.2">
      <c r="AE10">
        <v>0</v>
      </c>
    </row>
    <row r="11" spans="2:38" x14ac:dyDescent="0.2">
      <c r="C11" s="2" t="s">
        <v>34</v>
      </c>
      <c r="D11">
        <v>16</v>
      </c>
      <c r="E11">
        <v>15</v>
      </c>
      <c r="F11">
        <v>20</v>
      </c>
      <c r="G11">
        <v>22</v>
      </c>
      <c r="H11">
        <f>-200/60</f>
        <v>-3.3333333333333335</v>
      </c>
      <c r="I11">
        <f>SUMPRODUCT(D11:G11,D12:G12)</f>
        <v>14099.999999999998</v>
      </c>
      <c r="AC11" s="2" t="s">
        <v>34</v>
      </c>
      <c r="AD11">
        <v>16</v>
      </c>
      <c r="AE11">
        <v>15</v>
      </c>
      <c r="AF11">
        <v>20</v>
      </c>
      <c r="AG11">
        <v>22</v>
      </c>
      <c r="AH11">
        <f>-200/60</f>
        <v>-3.3333333333333335</v>
      </c>
      <c r="AI11">
        <f>SUMPRODUCT(AD11:AG11,AD12:AG12)</f>
        <v>13788.461538461537</v>
      </c>
    </row>
    <row r="12" spans="2:38" x14ac:dyDescent="0.2">
      <c r="C12" s="2" t="s">
        <v>35</v>
      </c>
      <c r="D12">
        <v>600</v>
      </c>
      <c r="E12">
        <v>299.99999999999989</v>
      </c>
      <c r="F12">
        <v>0</v>
      </c>
      <c r="G12">
        <v>0</v>
      </c>
      <c r="H12">
        <v>600</v>
      </c>
      <c r="AC12" s="2" t="s">
        <v>35</v>
      </c>
      <c r="AD12">
        <v>519.23076923076917</v>
      </c>
      <c r="AE12">
        <v>288.46153846153845</v>
      </c>
      <c r="AF12">
        <v>57.692307692307693</v>
      </c>
      <c r="AG12">
        <v>0</v>
      </c>
      <c r="AH12">
        <v>600</v>
      </c>
    </row>
    <row r="15" spans="2:38" x14ac:dyDescent="0.2">
      <c r="F15">
        <f>750*16</f>
        <v>12000</v>
      </c>
    </row>
    <row r="17" spans="2:30" x14ac:dyDescent="0.2">
      <c r="AD17">
        <f>AD9*AD12+AE9*AE12+AF9*AF12</f>
        <v>0</v>
      </c>
    </row>
    <row r="19" spans="2:30" x14ac:dyDescent="0.2">
      <c r="B19" s="2" t="s">
        <v>40</v>
      </c>
    </row>
    <row r="20" spans="2:30" x14ac:dyDescent="0.2">
      <c r="D20" s="2" t="s">
        <v>27</v>
      </c>
      <c r="E20" s="2" t="s">
        <v>28</v>
      </c>
      <c r="F20" s="2" t="s">
        <v>29</v>
      </c>
      <c r="H20" s="2" t="s">
        <v>41</v>
      </c>
      <c r="J20" s="2" t="s">
        <v>42</v>
      </c>
    </row>
    <row r="21" spans="2:30" x14ac:dyDescent="0.2">
      <c r="C21" s="2" t="s">
        <v>36</v>
      </c>
      <c r="D21">
        <v>3</v>
      </c>
      <c r="E21">
        <v>2</v>
      </c>
      <c r="H21">
        <f>SUMPRODUCT(D21:F21,D27:F27)</f>
        <v>14.999999999999998</v>
      </c>
      <c r="I21" s="2" t="s">
        <v>33</v>
      </c>
      <c r="J21">
        <v>15</v>
      </c>
    </row>
    <row r="22" spans="2:30" x14ac:dyDescent="0.2">
      <c r="C22" s="2" t="s">
        <v>37</v>
      </c>
      <c r="D22">
        <v>4</v>
      </c>
      <c r="E22">
        <v>1</v>
      </c>
      <c r="F22">
        <v>1</v>
      </c>
      <c r="H22">
        <f>SUMPRODUCT(D22:F22,D27:F27)</f>
        <v>858993475.20000005</v>
      </c>
      <c r="I22" s="2" t="s">
        <v>33</v>
      </c>
      <c r="J22">
        <v>16</v>
      </c>
    </row>
    <row r="23" spans="2:30" x14ac:dyDescent="0.2">
      <c r="C23" s="2" t="s">
        <v>38</v>
      </c>
      <c r="D23">
        <v>5</v>
      </c>
      <c r="E23">
        <v>3</v>
      </c>
      <c r="H23">
        <f>SUMPRODUCT(D23:F23,D27:F27)</f>
        <v>22.499999999999996</v>
      </c>
      <c r="I23" s="2" t="s">
        <v>33</v>
      </c>
      <c r="J23">
        <v>20</v>
      </c>
    </row>
    <row r="24" spans="2:30" x14ac:dyDescent="0.2">
      <c r="C24" s="2" t="s">
        <v>39</v>
      </c>
      <c r="D24">
        <v>6</v>
      </c>
      <c r="E24">
        <v>4</v>
      </c>
      <c r="H24">
        <f>SUMPRODUCT(D24:F24,D27:F27)</f>
        <v>29.999999999999996</v>
      </c>
      <c r="I24" s="2" t="s">
        <v>33</v>
      </c>
      <c r="J24">
        <v>22</v>
      </c>
    </row>
    <row r="26" spans="2:30" x14ac:dyDescent="0.2">
      <c r="C26" s="2" t="s">
        <v>34</v>
      </c>
      <c r="D26">
        <v>2400</v>
      </c>
      <c r="E26">
        <v>1500</v>
      </c>
      <c r="F26">
        <v>-200</v>
      </c>
      <c r="H26">
        <f>SUMPRODUCT(D26:F26,D27:F27)</f>
        <v>-171798682290</v>
      </c>
    </row>
    <row r="27" spans="2:30" x14ac:dyDescent="0.2">
      <c r="D27">
        <v>0</v>
      </c>
      <c r="E27">
        <v>7.4999999999999991</v>
      </c>
      <c r="F27">
        <v>858993467.70000005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HL-Eksempel</vt:lpstr>
      <vt:lpstr>Udvidet Eksempel</vt:lpstr>
      <vt:lpstr>Følsomhedsrapport 1</vt:lpstr>
      <vt:lpstr>Følsomhedsrapport 2</vt:lpstr>
      <vt:lpstr>Sheet3</vt:lpstr>
    </vt:vector>
  </TitlesOfParts>
  <Company>The 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Larsen</dc:creator>
  <cp:lastModifiedBy>asger konradi</cp:lastModifiedBy>
  <dcterms:created xsi:type="dcterms:W3CDTF">2006-09-05T11:18:35Z</dcterms:created>
  <dcterms:modified xsi:type="dcterms:W3CDTF">2024-01-18T10:05:45Z</dcterms:modified>
</cp:coreProperties>
</file>