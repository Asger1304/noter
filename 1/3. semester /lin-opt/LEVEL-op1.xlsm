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d2e27841fd4b7ba/Skrivebord/lin-opt/"/>
    </mc:Choice>
  </mc:AlternateContent>
  <xr:revisionPtr revIDLastSave="1693" documentId="8_{B4CC2C7A-343C-482A-B62B-BF3891A50FCF}" xr6:coauthVersionLast="47" xr6:coauthVersionMax="47" xr10:uidLastSave="{8DCFCA22-5ACC-4711-88CB-77D22AA5B354}"/>
  <bookViews>
    <workbookView xWindow="-120" yWindow="-120" windowWidth="29040" windowHeight="15720" xr2:uid="{00000000-000D-0000-FFFF-FFFF00000000}"/>
  </bookViews>
  <sheets>
    <sheet name="Sheet1" sheetId="1" r:id="rId1"/>
    <sheet name="Ark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4" i="1" l="1"/>
  <c r="F14" i="1"/>
  <c r="E15" i="1"/>
  <c r="F15" i="1"/>
  <c r="F16" i="1"/>
  <c r="E17" i="1"/>
  <c r="F17" i="1"/>
  <c r="E18" i="1"/>
  <c r="F18" i="1"/>
  <c r="E22" i="1"/>
  <c r="F22" i="1"/>
  <c r="E23" i="1"/>
  <c r="F23" i="1"/>
  <c r="E24" i="1"/>
  <c r="F24" i="1"/>
  <c r="E25" i="1"/>
  <c r="F25" i="1"/>
  <c r="E26" i="1"/>
  <c r="F26" i="1"/>
  <c r="B5" i="2" a="1"/>
  <c r="B5" i="2" s="1"/>
  <c r="B16" i="2" s="1" a="1"/>
  <c r="B16" i="2" s="1"/>
  <c r="M15" i="1"/>
  <c r="N16" i="1"/>
  <c r="M16" i="1"/>
  <c r="N17" i="1"/>
  <c r="M17" i="1"/>
  <c r="N18" i="1"/>
  <c r="M18" i="1"/>
  <c r="N19" i="1"/>
  <c r="M19" i="1"/>
  <c r="N20" i="1"/>
  <c r="M23" i="1"/>
  <c r="N24" i="1"/>
  <c r="M24" i="1"/>
  <c r="N25" i="1"/>
  <c r="M25" i="1"/>
  <c r="N26" i="1"/>
  <c r="M26" i="1"/>
  <c r="N27" i="1"/>
  <c r="M27" i="1"/>
  <c r="N2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<sst xmlns="http://schemas.openxmlformats.org/spreadsheetml/2006/main" count="18" uniqueCount="15">
  <si>
    <t>Basisvar.</t>
  </si>
  <si>
    <t>x1</t>
  </si>
  <si>
    <t>x2</t>
  </si>
  <si>
    <r>
      <t>LEVEL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ysgaards simpl</t>
    </r>
    <r>
      <rPr>
        <b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x-pi</t>
    </r>
    <r>
      <rPr>
        <b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 xml:space="preserve">otering i </t>
    </r>
    <r>
      <rPr>
        <b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xce</t>
    </r>
    <r>
      <rPr>
        <b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): En procedure til simplex-pivotering i Excel/VBA, v. 1.0, september 2015 / Jens Lysgaard</t>
    </r>
  </si>
  <si>
    <t>Nyt januar 2018: nu med mulighed for simplex med en ukendt reel parameter.</t>
  </si>
  <si>
    <t>B</t>
  </si>
  <si>
    <t>A</t>
  </si>
  <si>
    <t>A^bar</t>
  </si>
  <si>
    <t>x3</t>
  </si>
  <si>
    <t>Primal</t>
  </si>
  <si>
    <t>Dual</t>
  </si>
  <si>
    <t>x4</t>
  </si>
  <si>
    <t>red. omk</t>
  </si>
  <si>
    <t>RHS</t>
  </si>
  <si>
    <t>b^-1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</si>
</sst>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r.&quot;_-;\-* #,##0.00\ &quot;kr.&quot;_-;_-* &quot;-&quot;??\ &quot;kr.&quot;_-;_-@_-"/>
    <numFmt numFmtId="164" formatCode="???/???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5D9F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38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8" fillId="0" borderId="0" applyFont="0" applyFill="0" applyBorder="0" applyAlignment="0" applyProtection="0"/>
  </cellStyleXfs>
  <cellXfs count="30">
    <xf numFmtId="0" fontId="0" fillId="0" borderId="0" xfId="0"/>
    <xf numFmtId="12" fontId="6" fillId="0" borderId="0" xfId="37" applyNumberFormat="1" applyFont="1" applyBorder="1" applyAlignment="1">
      <alignment horizontal="right" vertical="center" wrapText="1"/>
    </xf>
    <xf numFmtId="12" fontId="6" fillId="0" borderId="0" xfId="37" applyNumberFormat="1" applyFont="1" applyFill="1" applyBorder="1" applyAlignment="1">
      <alignment horizontal="right" vertical="center" wrapText="1"/>
    </xf>
    <xf numFmtId="12" fontId="7" fillId="0" borderId="0" xfId="0" applyNumberFormat="1" applyFont="1" applyAlignment="1">
      <alignment horizontal="center" vertical="center" wrapText="1"/>
    </xf>
    <xf numFmtId="12" fontId="7" fillId="0" borderId="0" xfId="0" applyNumberFormat="1" applyFont="1" applyAlignment="1">
      <alignment horizontal="right" vertical="center" wrapText="1"/>
    </xf>
    <xf numFmtId="12" fontId="6" fillId="0" borderId="0" xfId="0" applyNumberFormat="1" applyFont="1" applyAlignment="1">
      <alignment horizontal="right" vertical="center" wrapText="1"/>
    </xf>
    <xf numFmtId="2" fontId="7" fillId="0" borderId="0" xfId="0" applyNumberFormat="1" applyFont="1" applyAlignment="1">
      <alignment horizontal="center" vertical="center" wrapText="1"/>
    </xf>
    <xf numFmtId="2" fontId="7" fillId="0" borderId="0" xfId="0" applyNumberFormat="1" applyFont="1" applyAlignment="1">
      <alignment horizontal="right" vertical="center" wrapText="1"/>
    </xf>
    <xf numFmtId="2" fontId="7" fillId="2" borderId="0" xfId="0" applyNumberFormat="1" applyFont="1" applyFill="1" applyAlignment="1">
      <alignment horizontal="right" vertical="center" wrapText="1"/>
    </xf>
    <xf numFmtId="2" fontId="1" fillId="0" borderId="0" xfId="0" applyNumberFormat="1" applyFont="1" applyAlignment="1">
      <alignment vertical="center" wrapText="1"/>
    </xf>
    <xf numFmtId="2" fontId="7" fillId="3" borderId="0" xfId="0" applyNumberFormat="1" applyFont="1" applyFill="1" applyAlignment="1">
      <alignment horizontal="center" vertical="center" wrapText="1"/>
    </xf>
    <xf numFmtId="12" fontId="0" fillId="0" borderId="0" xfId="0" applyNumberFormat="1"/>
    <xf numFmtId="12" fontId="1" fillId="0" borderId="0" xfId="0" applyNumberFormat="1" applyFont="1" applyAlignment="1">
      <alignment horizontal="right"/>
    </xf>
    <xf numFmtId="12" fontId="0" fillId="0" borderId="0" xfId="0" applyNumberFormat="1" applyAlignment="1">
      <alignment horizontal="center"/>
    </xf>
    <xf numFmtId="12" fontId="0" fillId="0" borderId="0" xfId="0" applyNumberFormat="1" applyAlignment="1">
      <alignment vertical="center" wrapText="1"/>
    </xf>
    <xf numFmtId="12" fontId="1" fillId="0" borderId="0" xfId="0" applyNumberFormat="1" applyFont="1" applyAlignment="1">
      <alignment horizontal="center"/>
    </xf>
    <xf numFmtId="12" fontId="1" fillId="0" borderId="0" xfId="0" applyNumberFormat="1" applyFont="1"/>
    <xf numFmtId="12" fontId="1" fillId="0" borderId="0" xfId="0" applyNumberFormat="1" applyFont="1" applyAlignment="1">
      <alignment vertical="center" wrapText="1"/>
    </xf>
    <xf numFmtId="12" fontId="6" fillId="0" borderId="0" xfId="0" applyNumberFormat="1" applyFont="1" applyAlignment="1">
      <alignment vertical="center" wrapText="1"/>
    </xf>
    <xf numFmtId="164" fontId="6" fillId="0" borderId="0" xfId="0" applyNumberFormat="1" applyFont="1" applyAlignment="1">
      <alignment horizontal="right" vertical="center" wrapText="1"/>
    </xf>
    <xf numFmtId="164" fontId="6" fillId="0" borderId="0" xfId="0" quotePrefix="1" applyNumberFormat="1" applyFont="1" applyAlignment="1">
      <alignment horizontal="right" vertical="center" wrapText="1"/>
    </xf>
    <xf numFmtId="164" fontId="6" fillId="2" borderId="0" xfId="0" applyNumberFormat="1" applyFont="1" applyFill="1" applyAlignment="1">
      <alignment horizontal="right" vertical="center" wrapText="1"/>
    </xf>
    <xf numFmtId="164" fontId="6" fillId="3" borderId="0" xfId="0" applyNumberFormat="1" applyFont="1" applyFill="1" applyAlignment="1">
      <alignment horizontal="right" vertical="center" wrapText="1"/>
    </xf>
    <xf numFmtId="164" fontId="6" fillId="3" borderId="0" xfId="37" applyNumberFormat="1" applyFont="1" applyFill="1" applyBorder="1" applyAlignment="1">
      <alignment horizontal="right" vertical="center" wrapText="1"/>
    </xf>
    <xf numFmtId="164" fontId="0" fillId="3" borderId="1" xfId="0" applyNumberFormat="1" applyFill="1" applyBorder="1"/>
    <xf numFmtId="164" fontId="0" fillId="3" borderId="2" xfId="0" applyNumberFormat="1" applyFill="1" applyBorder="1"/>
    <xf numFmtId="164" fontId="0" fillId="0" borderId="3" xfId="0" applyNumberFormat="1" applyBorder="1"/>
    <xf numFmtId="164" fontId="0" fillId="0" borderId="0" xfId="0" applyNumberFormat="1"/>
    <xf numFmtId="164" fontId="0" fillId="3" borderId="3" xfId="0" applyNumberFormat="1" applyFill="1" applyBorder="1"/>
    <xf numFmtId="164" fontId="0" fillId="3" borderId="0" xfId="0" applyNumberFormat="1" applyFill="1"/>
  </cellXfs>
  <cellStyles count="38">
    <cellStyle name="Besøgt link" xfId="2" builtinId="9" hidden="1"/>
    <cellStyle name="Besøgt link" xfId="4" builtinId="9" hidden="1"/>
    <cellStyle name="Besøgt link" xfId="6" builtinId="9" hidden="1"/>
    <cellStyle name="Besøgt link" xfId="8" builtinId="9" hidden="1"/>
    <cellStyle name="Besøgt link" xfId="10" builtinId="9" hidden="1"/>
    <cellStyle name="Besøgt link" xfId="12" builtinId="9" hidden="1"/>
    <cellStyle name="Besøgt link" xfId="14" builtinId="9" hidden="1"/>
    <cellStyle name="Besøgt link" xfId="16" builtinId="9" hidden="1"/>
    <cellStyle name="Besøgt link" xfId="18" builtinId="9" hidden="1"/>
    <cellStyle name="Besøgt link" xfId="20" builtinId="9" hidden="1"/>
    <cellStyle name="Besøgt link" xfId="22" builtinId="9" hidden="1"/>
    <cellStyle name="Besøgt link" xfId="24" builtinId="9" hidden="1"/>
    <cellStyle name="Besøgt link" xfId="26" builtinId="9" hidden="1"/>
    <cellStyle name="Besøgt link" xfId="28" builtinId="9" hidden="1"/>
    <cellStyle name="Besøgt link" xfId="30" builtinId="9" hidden="1"/>
    <cellStyle name="Besøgt link" xfId="32" builtinId="9" hidden="1"/>
    <cellStyle name="Besøgt link" xfId="34" builtinId="9" hidden="1"/>
    <cellStyle name="Besøgt link" xfId="3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Link" xfId="21" builtinId="8" hidden="1"/>
    <cellStyle name="Link" xfId="23" builtinId="8" hidden="1"/>
    <cellStyle name="Link" xfId="25" builtinId="8" hidden="1"/>
    <cellStyle name="Link" xfId="27" builtinId="8" hidden="1"/>
    <cellStyle name="Link" xfId="29" builtinId="8" hidden="1"/>
    <cellStyle name="Link" xfId="31" builtinId="8" hidden="1"/>
    <cellStyle name="Link" xfId="33" builtinId="8" hidden="1"/>
    <cellStyle name="Link" xfId="35" builtinId="8" hidden="1"/>
    <cellStyle name="Normal" xfId="0" builtinId="0"/>
    <cellStyle name="Valuta" xfId="37" builtin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4.xml"/><Relationship Id="rId4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</xdr:row>
          <xdr:rowOff>38100</xdr:rowOff>
        </xdr:from>
        <xdr:to>
          <xdr:col>4</xdr:col>
          <xdr:colOff>76200</xdr:colOff>
          <xdr:row>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Pivotér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som brøker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 som decimaltal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725950</xdr:colOff>
      <xdr:row>49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" name="Ink 1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13</xdr:col>
      <xdr:colOff>725950</xdr:colOff>
      <xdr:row>55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1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13</xdr:col>
      <xdr:colOff>725950</xdr:colOff>
      <xdr:row>61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9" name="Ink 1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13</xdr:col>
      <xdr:colOff>725950</xdr:colOff>
      <xdr:row>67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1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1:57.2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06.8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20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42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8"/>
  <sheetViews>
    <sheetView tabSelected="1" zoomScale="170" zoomScaleNormal="91" workbookViewId="0">
      <pane ySplit="5" topLeftCell="A6" activePane="bottomLeft" state="frozen"/>
      <selection pane="bottomLeft" activeCell="E8" sqref="E8"/>
    </sheetView>
  </sheetViews>
  <sheetFormatPr defaultColWidth="8.7109375" defaultRowHeight="15" x14ac:dyDescent="0.25"/>
  <cols>
    <col min="1" max="3" width="8.7109375" style="11"/>
    <col min="4" max="4" width="13.42578125" style="11" bestFit="1" customWidth="1"/>
    <col min="5" max="6" width="12.5703125" style="11" bestFit="1" customWidth="1"/>
    <col min="7" max="12" width="13.42578125" style="11" customWidth="1"/>
    <col min="13" max="13" width="15.42578125" style="11" customWidth="1"/>
    <col min="14" max="14" width="14.28515625" style="11" customWidth="1"/>
    <col min="15" max="15" width="12.7109375" style="11" bestFit="1" customWidth="1"/>
    <col min="16" max="16" width="12.28515625" style="11" bestFit="1" customWidth="1"/>
    <col min="17" max="17" width="11.140625" style="11" bestFit="1" customWidth="1"/>
    <col min="18" max="18" width="10.42578125" style="11" bestFit="1" customWidth="1"/>
    <col min="19" max="19" width="11.140625" style="11" bestFit="1" customWidth="1"/>
    <col min="20" max="16384" width="8.7109375" style="11"/>
  </cols>
  <sheetData>
    <row r="1" spans="1:19" x14ac:dyDescent="0.25">
      <c r="A1" s="11" t="s">
        <v>3</v>
      </c>
    </row>
    <row r="2" spans="1:19" x14ac:dyDescent="0.25">
      <c r="M2" s="11" t="s">
        <v>4</v>
      </c>
    </row>
    <row r="6" spans="1:19" x14ac:dyDescent="0.25">
      <c r="C6" s="6" t="s">
        <v>0</v>
      </c>
      <c r="D6" s="7" t="s">
        <v>1</v>
      </c>
      <c r="E6" s="7" t="s">
        <v>2</v>
      </c>
      <c r="F6" s="7" t="s">
        <v>8</v>
      </c>
      <c r="G6" s="7" t="s">
        <v>11</v>
      </c>
      <c r="H6" s="8" t="s">
        <v>13</v>
      </c>
      <c r="J6" s="12"/>
      <c r="K6" s="12"/>
      <c r="L6" s="12"/>
      <c r="M6" s="12"/>
    </row>
    <row r="7" spans="1:19" ht="30" x14ac:dyDescent="0.25">
      <c r="C7" s="9" t="s">
        <v>12</v>
      </c>
      <c r="D7" s="19">
        <v>0.66666666666666674</v>
      </c>
      <c r="E7" s="19">
        <v>0</v>
      </c>
      <c r="F7" s="20">
        <v>0.33333333333333331</v>
      </c>
      <c r="G7" s="19">
        <v>0</v>
      </c>
      <c r="H7" s="21">
        <v>-10</v>
      </c>
    </row>
    <row r="8" spans="1:19" x14ac:dyDescent="0.25">
      <c r="C8" s="10" t="s">
        <v>2</v>
      </c>
      <c r="D8" s="22">
        <v>1.3333333333333333</v>
      </c>
      <c r="E8" s="23">
        <v>1</v>
      </c>
      <c r="F8" s="23">
        <v>-0.33333333333333331</v>
      </c>
      <c r="G8" s="22">
        <v>0</v>
      </c>
      <c r="H8" s="21">
        <v>10</v>
      </c>
    </row>
    <row r="9" spans="1:19" x14ac:dyDescent="0.25">
      <c r="C9" s="10" t="s">
        <v>11</v>
      </c>
      <c r="D9" s="22">
        <v>-2.666666666666667</v>
      </c>
      <c r="E9" s="23">
        <v>0</v>
      </c>
      <c r="F9" s="23">
        <v>-0.33333333333333331</v>
      </c>
      <c r="G9" s="22">
        <v>1</v>
      </c>
      <c r="H9" s="21">
        <v>0</v>
      </c>
    </row>
    <row r="10" spans="1:19" x14ac:dyDescent="0.25">
      <c r="C10" s="14"/>
      <c r="D10" s="5"/>
      <c r="E10" s="5"/>
      <c r="F10" s="5"/>
      <c r="G10" s="5"/>
      <c r="H10" s="5"/>
      <c r="I10" s="5"/>
      <c r="N10" s="13"/>
    </row>
    <row r="11" spans="1:19" x14ac:dyDescent="0.25">
      <c r="C11" s="14"/>
      <c r="D11" s="5"/>
      <c r="E11" s="5"/>
      <c r="F11" s="5"/>
      <c r="G11" s="5"/>
      <c r="H11" s="5"/>
      <c r="I11" s="5"/>
      <c r="J11" s="5"/>
      <c r="K11" s="5"/>
      <c r="L11" s="5"/>
      <c r="M11" s="5"/>
      <c r="R11" s="13"/>
    </row>
    <row r="12" spans="1:19" x14ac:dyDescent="0.25">
      <c r="C12" s="14"/>
      <c r="D12" s="5"/>
      <c r="E12" s="5"/>
      <c r="F12" s="5"/>
      <c r="G12" s="5"/>
      <c r="H12" s="5"/>
      <c r="I12" s="5"/>
      <c r="J12" s="5"/>
      <c r="K12" s="5"/>
      <c r="L12" s="5"/>
      <c r="M12" s="5"/>
      <c r="N12" s="3"/>
      <c r="R12" s="13"/>
    </row>
    <row r="13" spans="1:19" x14ac:dyDescent="0.25">
      <c r="J13" s="5"/>
      <c r="K13" s="5"/>
      <c r="L13" s="5"/>
      <c r="M13" s="5"/>
      <c r="N13" s="3"/>
      <c r="R13" s="13"/>
    </row>
    <row r="14" spans="1:19" ht="15.75" thickBot="1" x14ac:dyDescent="0.3">
      <c r="E14" s="12" t="str">
        <f>IF(D6="","",D6)</f>
        <v>x1</v>
      </c>
      <c r="F14" s="12" t="str">
        <f>IF(E6="","",E6)</f>
        <v>x2</v>
      </c>
      <c r="G14" s="12"/>
      <c r="H14" s="12"/>
      <c r="I14" s="12"/>
      <c r="N14" s="3"/>
      <c r="R14" s="13"/>
    </row>
    <row r="15" spans="1:19" ht="15.75" thickBot="1" x14ac:dyDescent="0.3">
      <c r="C15" s="15"/>
      <c r="D15" s="16" t="s">
        <v>9</v>
      </c>
      <c r="E15" s="24" t="e">
        <f>IF(#REF!&gt;0,#REF!/#REF!," ")</f>
        <v>#REF!</v>
      </c>
      <c r="F15" s="25" t="e">
        <f>IF(#REF!&gt;0,#REF!/#REF!," ")</f>
        <v>#REF!</v>
      </c>
      <c r="G15" s="25"/>
      <c r="H15" s="25"/>
      <c r="I15" s="25"/>
      <c r="J15" s="12"/>
      <c r="K15" s="12"/>
      <c r="L15" s="12"/>
      <c r="M15" s="12" t="e">
        <f>IF(#REF!="","",#REF!)</f>
        <v>#REF!</v>
      </c>
      <c r="O15" s="3"/>
      <c r="S15" s="13"/>
    </row>
    <row r="16" spans="1:19" ht="15.75" thickBot="1" x14ac:dyDescent="0.3">
      <c r="C16" s="16"/>
      <c r="E16" s="26">
        <v>0</v>
      </c>
      <c r="F16" s="27" t="e">
        <f>IF(#REF!&gt;0,#REF!/#REF!," ")</f>
        <v>#REF!</v>
      </c>
      <c r="G16" s="27"/>
      <c r="H16" s="27"/>
      <c r="I16" s="27"/>
      <c r="J16" s="25"/>
      <c r="K16" s="25"/>
      <c r="L16" s="25"/>
      <c r="M16" s="25" t="e">
        <f>IF(#REF!&gt;0,#REF!/#REF!," ")</f>
        <v>#REF!</v>
      </c>
      <c r="N16" s="12" t="e">
        <f>IF(#REF!="","",#REF!)</f>
        <v>#REF!</v>
      </c>
      <c r="O16" s="3"/>
      <c r="S16" s="13"/>
    </row>
    <row r="17" spans="3:19" x14ac:dyDescent="0.25">
      <c r="C17" s="15"/>
      <c r="E17" s="28" t="e">
        <f>IF(#REF!&gt;0,#REF!/#REF!," ")</f>
        <v>#REF!</v>
      </c>
      <c r="F17" s="29" t="e">
        <f>IF(#REF!&gt;0,#REF!/#REF!," ")</f>
        <v>#REF!</v>
      </c>
      <c r="G17" s="29"/>
      <c r="H17" s="29"/>
      <c r="I17" s="29"/>
      <c r="J17" s="27"/>
      <c r="K17" s="27"/>
      <c r="L17" s="27"/>
      <c r="M17" s="27" t="e">
        <f>IF(#REF!&gt;0,#REF!/#REF!," ")</f>
        <v>#REF!</v>
      </c>
      <c r="N17" s="25" t="e">
        <f>IF(#REF!&gt;0,#REF!/#REF!," ")</f>
        <v>#REF!</v>
      </c>
      <c r="O17" s="17"/>
      <c r="P17" s="12"/>
      <c r="Q17" s="12"/>
      <c r="R17" s="12"/>
      <c r="S17" s="12"/>
    </row>
    <row r="18" spans="3:19" x14ac:dyDescent="0.25">
      <c r="C18" s="15"/>
      <c r="D18" s="16"/>
      <c r="E18" s="26" t="str">
        <f>IF(D10&gt;0,#REF!/D10," ")</f>
        <v xml:space="preserve"> </v>
      </c>
      <c r="F18" s="27" t="str">
        <f>IF(E10&gt;0,#REF!/E10," ")</f>
        <v xml:space="preserve"> </v>
      </c>
      <c r="G18" s="27"/>
      <c r="H18" s="27"/>
      <c r="I18" s="27"/>
      <c r="J18" s="29"/>
      <c r="K18" s="29"/>
      <c r="L18" s="29"/>
      <c r="M18" s="29" t="e">
        <f>IF(#REF!&gt;0,#REF!/#REF!," ")</f>
        <v>#REF!</v>
      </c>
      <c r="N18" s="27" t="e">
        <f>IF(#REF!&gt;0,#REF!/#REF!," ")</f>
        <v>#REF!</v>
      </c>
      <c r="O18" s="3"/>
      <c r="P18" s="12"/>
      <c r="Q18" s="12"/>
      <c r="R18" s="12"/>
      <c r="S18" s="12"/>
    </row>
    <row r="19" spans="3:19" x14ac:dyDescent="0.25">
      <c r="C19" s="15"/>
      <c r="D19" s="12"/>
      <c r="E19" s="12"/>
      <c r="F19" s="12"/>
      <c r="G19" s="12"/>
      <c r="H19" s="12"/>
      <c r="I19" s="12"/>
      <c r="J19" s="27"/>
      <c r="K19" s="27"/>
      <c r="L19" s="27"/>
      <c r="M19" s="27" t="e">
        <f>IF(#REF!&gt;0,#REF!/#REF!," ")</f>
        <v>#REF!</v>
      </c>
      <c r="N19" s="29" t="e">
        <f>IF(#REF!&gt;0,#REF!/#REF!," ")</f>
        <v>#REF!</v>
      </c>
      <c r="O19" s="3"/>
    </row>
    <row r="20" spans="3:19" x14ac:dyDescent="0.25">
      <c r="C20" s="16"/>
      <c r="J20" s="12"/>
      <c r="K20" s="12"/>
      <c r="L20" s="12"/>
      <c r="M20" s="12"/>
      <c r="N20" s="27" t="str">
        <f>IF(M11&gt;0,#REF!/M11," ")</f>
        <v xml:space="preserve"> </v>
      </c>
      <c r="O20" s="3"/>
      <c r="S20" s="13"/>
    </row>
    <row r="21" spans="3:19" x14ac:dyDescent="0.25">
      <c r="C21" s="15"/>
      <c r="N21" s="12"/>
      <c r="O21" s="3"/>
      <c r="S21" s="13"/>
    </row>
    <row r="22" spans="3:19" ht="15.75" thickBot="1" x14ac:dyDescent="0.3">
      <c r="C22" s="15"/>
      <c r="E22" s="12" t="str">
        <f>IF(D6="","",D6)</f>
        <v>x1</v>
      </c>
      <c r="F22" s="12" t="str">
        <f>IF(E6="","",E6)</f>
        <v>x2</v>
      </c>
      <c r="G22" s="12"/>
      <c r="H22" s="12"/>
      <c r="I22" s="12"/>
      <c r="O22" s="17"/>
      <c r="P22" s="12"/>
      <c r="Q22" s="12"/>
      <c r="R22" s="12"/>
      <c r="S22" s="12"/>
    </row>
    <row r="23" spans="3:19" ht="15.75" thickBot="1" x14ac:dyDescent="0.3">
      <c r="C23" s="15"/>
      <c r="D23" s="16" t="s">
        <v>10</v>
      </c>
      <c r="E23" s="24" t="e">
        <f>IF(#REF!&lt;0,-D$7/#REF!," ")</f>
        <v>#REF!</v>
      </c>
      <c r="F23" s="25" t="e">
        <f>IF(#REF!&lt;0,-E$7/#REF!," ")</f>
        <v>#REF!</v>
      </c>
      <c r="G23" s="25"/>
      <c r="H23" s="25"/>
      <c r="I23" s="25"/>
      <c r="J23" s="12"/>
      <c r="K23" s="12"/>
      <c r="L23" s="12"/>
      <c r="M23" s="12" t="e">
        <f>IF(#REF!="","",#REF!)</f>
        <v>#REF!</v>
      </c>
      <c r="O23" s="3"/>
      <c r="P23" s="12"/>
      <c r="Q23" s="12"/>
      <c r="R23" s="12"/>
      <c r="S23" s="12"/>
    </row>
    <row r="24" spans="3:19" ht="15.75" thickBot="1" x14ac:dyDescent="0.3">
      <c r="C24" s="15"/>
      <c r="D24" s="15"/>
      <c r="E24" s="26" t="e">
        <f>IF(#REF!&lt;0,-D$7/#REF!," ")</f>
        <v>#REF!</v>
      </c>
      <c r="F24" s="27" t="e">
        <f>IF(#REF!&lt;0,-E$7/#REF!," ")</f>
        <v>#REF!</v>
      </c>
      <c r="G24" s="27"/>
      <c r="H24" s="27"/>
      <c r="I24" s="27"/>
      <c r="J24" s="25"/>
      <c r="K24" s="25"/>
      <c r="L24" s="25"/>
      <c r="M24" s="25" t="e">
        <f>IF(#REF!&lt;0,-#REF!/#REF!," ")</f>
        <v>#REF!</v>
      </c>
      <c r="N24" s="12" t="e">
        <f>IF(#REF!="","",#REF!)</f>
        <v>#REF!</v>
      </c>
      <c r="O24" s="3"/>
    </row>
    <row r="25" spans="3:19" x14ac:dyDescent="0.25">
      <c r="C25" s="3"/>
      <c r="D25" s="4"/>
      <c r="E25" s="28" t="e">
        <f>IF(#REF!&lt;0,-D$7/#REF!," ")</f>
        <v>#REF!</v>
      </c>
      <c r="F25" s="29" t="e">
        <f>IF(#REF!&lt;0,-E$7/#REF!," ")</f>
        <v>#REF!</v>
      </c>
      <c r="G25" s="29"/>
      <c r="H25" s="29"/>
      <c r="I25" s="29"/>
      <c r="J25" s="27"/>
      <c r="K25" s="27"/>
      <c r="L25" s="27"/>
      <c r="M25" s="27" t="e">
        <f>IF(#REF!&lt;0,-#REF!/#REF!," ")</f>
        <v>#REF!</v>
      </c>
      <c r="N25" s="25" t="e">
        <f>IF(#REF!&lt;0,-#REF!/#REF!," ")</f>
        <v>#REF!</v>
      </c>
      <c r="O25" s="3"/>
      <c r="S25" s="13"/>
    </row>
    <row r="26" spans="3:19" x14ac:dyDescent="0.25">
      <c r="C26" s="3"/>
      <c r="D26" s="4"/>
      <c r="E26" s="26" t="str">
        <f>IF(D10&lt;0,-D$7/D10," ")</f>
        <v xml:space="preserve"> </v>
      </c>
      <c r="F26" s="27" t="str">
        <f>IF(E10&lt;0,-E$7/E10," ")</f>
        <v xml:space="preserve"> </v>
      </c>
      <c r="G26" s="27"/>
      <c r="H26" s="27"/>
      <c r="I26" s="27"/>
      <c r="J26" s="29"/>
      <c r="K26" s="29"/>
      <c r="L26" s="29"/>
      <c r="M26" s="29" t="e">
        <f>IF(#REF!&lt;0,-#REF!/#REF!," ")</f>
        <v>#REF!</v>
      </c>
      <c r="N26" s="27" t="e">
        <f>IF(#REF!&lt;0,-#REF!/#REF!," ")</f>
        <v>#REF!</v>
      </c>
      <c r="O26" s="3"/>
      <c r="S26" s="13"/>
    </row>
    <row r="27" spans="3:19" x14ac:dyDescent="0.25">
      <c r="C27" s="14"/>
      <c r="D27" s="5"/>
      <c r="E27" s="5"/>
      <c r="F27" s="5"/>
      <c r="G27" s="5"/>
      <c r="H27" s="5"/>
      <c r="I27" s="5"/>
      <c r="J27" s="27"/>
      <c r="K27" s="27"/>
      <c r="L27" s="27"/>
      <c r="M27" s="27" t="e">
        <f>IF(#REF!&lt;0,-#REF!/#REF!," ")</f>
        <v>#REF!</v>
      </c>
      <c r="N27" s="29" t="e">
        <f>IF(#REF!&lt;0,-#REF!/#REF!," ")</f>
        <v>#REF!</v>
      </c>
      <c r="O27" s="3"/>
      <c r="S27" s="13"/>
    </row>
    <row r="28" spans="3:19" x14ac:dyDescent="0.25">
      <c r="C28" s="3"/>
      <c r="D28" s="5"/>
      <c r="E28" s="5"/>
      <c r="F28" s="5"/>
      <c r="G28" s="5"/>
      <c r="H28" s="5"/>
      <c r="I28" s="5"/>
      <c r="J28" s="5"/>
      <c r="K28" s="5"/>
      <c r="L28" s="5"/>
      <c r="M28" s="5"/>
      <c r="N28" s="27" t="str">
        <f>IF(M11&lt;0,-#REF!/M11," ")</f>
        <v xml:space="preserve"> </v>
      </c>
      <c r="P28" s="12"/>
      <c r="Q28" s="12"/>
      <c r="R28" s="12"/>
      <c r="S28" s="12"/>
    </row>
    <row r="29" spans="3:19" x14ac:dyDescent="0.25">
      <c r="C29" s="3"/>
      <c r="D29" s="5"/>
      <c r="E29" s="5"/>
      <c r="F29" s="5"/>
      <c r="G29" s="5"/>
      <c r="H29" s="5"/>
      <c r="I29" s="5"/>
      <c r="J29" s="5"/>
      <c r="K29" s="5"/>
      <c r="L29" s="5"/>
      <c r="M29" s="5"/>
      <c r="N29" s="4"/>
    </row>
    <row r="30" spans="3:19" x14ac:dyDescent="0.25">
      <c r="C30" s="18"/>
      <c r="D30" s="5"/>
      <c r="E30" s="5"/>
      <c r="F30" s="5"/>
      <c r="G30" s="5"/>
      <c r="H30" s="5"/>
      <c r="I30" s="5"/>
      <c r="J30" s="5"/>
      <c r="K30" s="5"/>
      <c r="L30" s="5"/>
      <c r="M30" s="5"/>
      <c r="N30" s="4"/>
      <c r="S30" s="13"/>
    </row>
    <row r="31" spans="3:19" x14ac:dyDescent="0.25">
      <c r="C31" s="3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S31" s="13"/>
    </row>
    <row r="32" spans="3:19" x14ac:dyDescent="0.25">
      <c r="C32" s="3"/>
      <c r="D32" s="4"/>
      <c r="E32" s="4"/>
      <c r="F32" s="4"/>
      <c r="G32" s="4"/>
      <c r="H32" s="4"/>
      <c r="I32" s="4"/>
      <c r="J32" s="4"/>
      <c r="K32" s="4"/>
      <c r="L32" s="4"/>
      <c r="M32" s="4"/>
      <c r="N32" s="5"/>
      <c r="P32" s="12"/>
      <c r="Q32" s="12"/>
      <c r="R32" s="12"/>
      <c r="S32" s="12"/>
    </row>
    <row r="33" spans="3:19" x14ac:dyDescent="0.25">
      <c r="C33" s="14"/>
      <c r="D33" s="5"/>
      <c r="E33" s="5"/>
      <c r="F33" s="5"/>
      <c r="G33" s="5"/>
      <c r="H33" s="5"/>
      <c r="I33" s="5"/>
      <c r="J33" s="4"/>
      <c r="K33" s="4"/>
      <c r="L33" s="4"/>
      <c r="M33" s="4"/>
      <c r="N33" s="4"/>
      <c r="P33" s="12"/>
      <c r="Q33" s="12"/>
      <c r="R33" s="12"/>
      <c r="S33" s="12"/>
    </row>
    <row r="34" spans="3:19" x14ac:dyDescent="0.25">
      <c r="C34" s="3"/>
      <c r="D34" s="2"/>
      <c r="E34" s="5"/>
      <c r="F34" s="1"/>
      <c r="G34" s="1"/>
      <c r="H34" s="5"/>
      <c r="I34" s="5"/>
      <c r="J34" s="5"/>
      <c r="K34" s="5"/>
      <c r="L34" s="5"/>
      <c r="M34" s="5"/>
      <c r="N34" s="5"/>
    </row>
    <row r="35" spans="3:19" x14ac:dyDescent="0.25">
      <c r="C35" s="3"/>
      <c r="D35" s="2"/>
      <c r="E35" s="5"/>
      <c r="F35" s="1"/>
      <c r="G35" s="1"/>
      <c r="H35" s="5"/>
      <c r="I35" s="5"/>
      <c r="J35" s="5"/>
      <c r="K35" s="5"/>
      <c r="L35" s="5"/>
      <c r="M35" s="5"/>
      <c r="N35" s="5"/>
      <c r="S35" s="13"/>
    </row>
    <row r="36" spans="3:19" x14ac:dyDescent="0.25">
      <c r="C36" s="18"/>
      <c r="D36" s="10" t="s">
        <v>2</v>
      </c>
      <c r="E36" s="22">
        <v>0</v>
      </c>
      <c r="F36" s="23">
        <v>1</v>
      </c>
      <c r="G36" s="23">
        <v>-2.0000000000000004</v>
      </c>
      <c r="H36" s="22">
        <v>0</v>
      </c>
      <c r="I36" s="21">
        <v>2</v>
      </c>
      <c r="J36" s="5"/>
      <c r="K36" s="5"/>
      <c r="L36" s="5"/>
      <c r="M36" s="5"/>
      <c r="N36" s="5"/>
      <c r="S36" s="13"/>
    </row>
    <row r="37" spans="3:19" x14ac:dyDescent="0.25">
      <c r="C37" s="3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3:19" x14ac:dyDescent="0.25">
      <c r="C38" s="3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</row>
    <row r="39" spans="3:19" x14ac:dyDescent="0.25">
      <c r="C39" s="14"/>
      <c r="D39" s="5"/>
      <c r="E39" s="5"/>
      <c r="F39" s="5"/>
      <c r="G39" s="5"/>
      <c r="H39" s="5"/>
      <c r="I39" s="5"/>
      <c r="J39" s="4"/>
      <c r="K39" s="4"/>
      <c r="L39" s="4"/>
      <c r="M39" s="4"/>
      <c r="N39" s="5"/>
    </row>
    <row r="40" spans="3:19" x14ac:dyDescent="0.25">
      <c r="C40" s="3"/>
      <c r="D40" s="2"/>
      <c r="E40" s="5"/>
      <c r="F40" s="1"/>
      <c r="G40" s="1"/>
      <c r="H40" s="5"/>
      <c r="I40" s="5"/>
      <c r="J40" s="5"/>
      <c r="K40" s="5"/>
      <c r="L40" s="5"/>
      <c r="M40" s="5"/>
      <c r="N40" s="4"/>
    </row>
    <row r="41" spans="3:19" x14ac:dyDescent="0.25">
      <c r="C41" s="3"/>
      <c r="D41" s="2"/>
      <c r="E41" s="5"/>
      <c r="F41" s="1"/>
      <c r="G41" s="1"/>
      <c r="H41" s="5"/>
      <c r="I41" s="5"/>
      <c r="J41" s="5"/>
      <c r="K41" s="5"/>
      <c r="L41" s="5"/>
      <c r="M41" s="5"/>
      <c r="N41" s="5"/>
    </row>
    <row r="42" spans="3:19" x14ac:dyDescent="0.25">
      <c r="C42" s="18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3:19" x14ac:dyDescent="0.25">
      <c r="C43" s="1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3:19" x14ac:dyDescent="0.25">
      <c r="C44" s="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3:19" x14ac:dyDescent="0.25">
      <c r="C45" s="3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</row>
    <row r="46" spans="3:19" x14ac:dyDescent="0.25">
      <c r="C46" s="14"/>
      <c r="D46" s="5"/>
      <c r="E46" s="5"/>
      <c r="F46" s="5"/>
      <c r="G46" s="5"/>
      <c r="H46" s="5"/>
      <c r="I46" s="5"/>
      <c r="J46" s="4"/>
      <c r="K46" s="4"/>
      <c r="L46" s="4"/>
      <c r="M46" s="4"/>
      <c r="N46" s="5"/>
    </row>
    <row r="47" spans="3:19" x14ac:dyDescent="0.25">
      <c r="C47" s="3"/>
      <c r="D47" s="5"/>
      <c r="E47" s="5"/>
      <c r="F47" s="5"/>
      <c r="G47" s="5"/>
      <c r="H47" s="5"/>
      <c r="I47" s="5"/>
      <c r="J47" s="5"/>
      <c r="K47" s="5"/>
      <c r="L47" s="5"/>
      <c r="M47" s="5"/>
      <c r="N47" s="4"/>
    </row>
    <row r="48" spans="3:19" x14ac:dyDescent="0.25">
      <c r="C48" s="3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3:14" x14ac:dyDescent="0.25"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3:14" x14ac:dyDescent="0.25">
      <c r="C50" s="14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3:14" x14ac:dyDescent="0.25">
      <c r="C51" s="15"/>
      <c r="J51" s="5"/>
      <c r="K51" s="5"/>
      <c r="L51" s="5"/>
      <c r="M51" s="5"/>
      <c r="N51" s="5"/>
    </row>
    <row r="52" spans="3:14" x14ac:dyDescent="0.25">
      <c r="C52" s="3"/>
      <c r="D52" s="4"/>
      <c r="E52" s="4"/>
      <c r="F52" s="4"/>
      <c r="G52" s="4"/>
      <c r="H52" s="4"/>
      <c r="I52" s="4"/>
      <c r="N52" s="5"/>
    </row>
    <row r="53" spans="3:14" x14ac:dyDescent="0.25">
      <c r="C53" s="3"/>
      <c r="D53" s="4"/>
      <c r="E53" s="4"/>
      <c r="F53" s="4"/>
      <c r="G53" s="4"/>
      <c r="H53" s="4"/>
      <c r="I53" s="4"/>
      <c r="J53" s="4"/>
      <c r="K53" s="4"/>
      <c r="L53" s="4"/>
      <c r="M53" s="4"/>
      <c r="N53" s="13"/>
    </row>
    <row r="54" spans="3:14" x14ac:dyDescent="0.25">
      <c r="C54" s="14"/>
      <c r="D54" s="5"/>
      <c r="E54" s="5"/>
      <c r="F54" s="5"/>
      <c r="G54" s="5"/>
      <c r="H54" s="5"/>
      <c r="I54" s="5"/>
      <c r="J54" s="4"/>
      <c r="K54" s="4"/>
      <c r="L54" s="4"/>
      <c r="M54" s="4"/>
      <c r="N54" s="4"/>
    </row>
    <row r="55" spans="3:14" x14ac:dyDescent="0.25">
      <c r="C55" s="3"/>
      <c r="D55" s="5"/>
      <c r="E55" s="5"/>
      <c r="F55" s="5"/>
      <c r="G55" s="5"/>
      <c r="H55" s="5"/>
      <c r="I55" s="5"/>
      <c r="J55" s="5"/>
      <c r="K55" s="5"/>
      <c r="L55" s="5"/>
      <c r="M55" s="5"/>
      <c r="N55" s="4"/>
    </row>
    <row r="56" spans="3:14" x14ac:dyDescent="0.25">
      <c r="C56" s="3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3:14" x14ac:dyDescent="0.25">
      <c r="C57" s="18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3:14" x14ac:dyDescent="0.25">
      <c r="C58" s="14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</row>
    <row r="59" spans="3:14" x14ac:dyDescent="0.25">
      <c r="C59" s="14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</row>
    <row r="60" spans="3:14" x14ac:dyDescent="0.25">
      <c r="C60" s="3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</row>
    <row r="61" spans="3:14" x14ac:dyDescent="0.25">
      <c r="C61" s="3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</row>
    <row r="62" spans="3:14" x14ac:dyDescent="0.25">
      <c r="C62" s="3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</row>
    <row r="63" spans="3:14" x14ac:dyDescent="0.25">
      <c r="C63" s="3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</row>
    <row r="64" spans="3:14" x14ac:dyDescent="0.25">
      <c r="C64" s="3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</row>
    <row r="65" spans="3:14" x14ac:dyDescent="0.25">
      <c r="C65" s="14"/>
      <c r="D65" s="5"/>
      <c r="E65" s="5"/>
      <c r="F65" s="5"/>
      <c r="G65" s="5"/>
      <c r="H65" s="5"/>
      <c r="I65" s="5"/>
      <c r="J65" s="4"/>
      <c r="K65" s="4"/>
      <c r="L65" s="4"/>
      <c r="M65" s="4"/>
      <c r="N65" s="5"/>
    </row>
    <row r="66" spans="3:14" x14ac:dyDescent="0.25">
      <c r="C66" s="3"/>
      <c r="D66" s="5"/>
      <c r="E66" s="5"/>
      <c r="F66" s="5"/>
      <c r="G66" s="5"/>
      <c r="H66" s="5"/>
      <c r="I66" s="5"/>
      <c r="J66" s="5"/>
      <c r="K66" s="5"/>
      <c r="L66" s="5"/>
      <c r="M66" s="5"/>
      <c r="N66" s="4"/>
    </row>
    <row r="67" spans="3:14" x14ac:dyDescent="0.25">
      <c r="C67" s="3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</row>
    <row r="68" spans="3:14" x14ac:dyDescent="0.25">
      <c r="C68" s="3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</row>
    <row r="69" spans="3:14" x14ac:dyDescent="0.25">
      <c r="C69" s="3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</row>
    <row r="70" spans="3:14" x14ac:dyDescent="0.25">
      <c r="C70" s="3"/>
      <c r="D70" s="4"/>
      <c r="E70" s="4"/>
      <c r="F70" s="4"/>
      <c r="G70" s="4"/>
      <c r="H70" s="4"/>
      <c r="I70" s="4"/>
      <c r="J70" s="5"/>
      <c r="K70" s="5"/>
      <c r="L70" s="5"/>
      <c r="M70" s="5"/>
      <c r="N70" s="5"/>
    </row>
    <row r="71" spans="3:14" x14ac:dyDescent="0.25">
      <c r="C71" s="14"/>
      <c r="D71" s="5"/>
      <c r="E71" s="5"/>
      <c r="F71" s="5"/>
      <c r="G71" s="5"/>
      <c r="H71" s="5"/>
      <c r="I71" s="5"/>
      <c r="J71" s="4"/>
      <c r="K71" s="4"/>
      <c r="L71" s="4"/>
      <c r="M71" s="4"/>
      <c r="N71" s="5"/>
    </row>
    <row r="72" spans="3:14" x14ac:dyDescent="0.25">
      <c r="C72" s="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</row>
    <row r="73" spans="3:14" x14ac:dyDescent="0.25">
      <c r="C73" s="3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</row>
    <row r="74" spans="3:14" x14ac:dyDescent="0.25">
      <c r="C74" s="3"/>
      <c r="D74" s="4"/>
      <c r="E74" s="4"/>
      <c r="F74" s="4"/>
      <c r="G74" s="4"/>
      <c r="H74" s="4"/>
      <c r="I74" s="4"/>
      <c r="J74" s="5"/>
      <c r="K74" s="5"/>
      <c r="L74" s="5"/>
      <c r="M74" s="5"/>
      <c r="N74" s="5"/>
    </row>
    <row r="75" spans="3:14" x14ac:dyDescent="0.25">
      <c r="C75" s="3"/>
      <c r="D75" s="4"/>
      <c r="E75" s="4"/>
      <c r="F75" s="4"/>
      <c r="G75" s="4"/>
      <c r="H75" s="4"/>
      <c r="I75" s="4"/>
      <c r="J75" s="4"/>
      <c r="K75" s="4"/>
      <c r="L75" s="4"/>
      <c r="M75" s="4"/>
      <c r="N75" s="5"/>
    </row>
    <row r="76" spans="3:14" x14ac:dyDescent="0.25">
      <c r="C76" s="14"/>
      <c r="D76" s="5"/>
      <c r="E76" s="5"/>
      <c r="F76" s="5"/>
      <c r="G76" s="5"/>
      <c r="H76" s="5"/>
      <c r="I76" s="5"/>
      <c r="J76" s="4"/>
      <c r="K76" s="4"/>
      <c r="L76" s="4"/>
      <c r="M76" s="4"/>
      <c r="N76" s="4"/>
    </row>
    <row r="77" spans="3:14" x14ac:dyDescent="0.25">
      <c r="C77" s="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</row>
    <row r="78" spans="3:14" x14ac:dyDescent="0.25">
      <c r="C78" s="3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</row>
    <row r="79" spans="3:14" x14ac:dyDescent="0.25">
      <c r="C79" s="3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</row>
    <row r="80" spans="3:14" x14ac:dyDescent="0.25">
      <c r="J80" s="5"/>
      <c r="K80" s="5"/>
      <c r="L80" s="5"/>
      <c r="M80" s="5"/>
      <c r="N80" s="5"/>
    </row>
    <row r="81" spans="3:14" x14ac:dyDescent="0.25">
      <c r="C81" s="3"/>
      <c r="D81" s="4"/>
      <c r="E81" s="4"/>
      <c r="F81" s="4"/>
      <c r="G81" s="4"/>
      <c r="H81" s="4"/>
      <c r="I81" s="4"/>
      <c r="N81" s="5"/>
    </row>
    <row r="82" spans="3:14" x14ac:dyDescent="0.25">
      <c r="C82" s="14"/>
      <c r="D82" s="5"/>
      <c r="E82" s="5"/>
      <c r="F82" s="5"/>
      <c r="G82" s="5"/>
      <c r="H82" s="5"/>
      <c r="I82" s="5"/>
      <c r="J82" s="4"/>
      <c r="K82" s="4"/>
      <c r="L82" s="4"/>
      <c r="M82" s="4"/>
    </row>
    <row r="83" spans="3:14" x14ac:dyDescent="0.25">
      <c r="C83" s="3"/>
      <c r="D83" s="5"/>
      <c r="E83" s="5"/>
      <c r="F83" s="5"/>
      <c r="G83" s="5"/>
      <c r="H83" s="5"/>
      <c r="I83" s="5"/>
      <c r="J83" s="5"/>
      <c r="K83" s="5"/>
      <c r="L83" s="5"/>
      <c r="M83" s="5"/>
      <c r="N83" s="4"/>
    </row>
    <row r="84" spans="3:14" x14ac:dyDescent="0.25">
      <c r="C84" s="3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</row>
    <row r="85" spans="3:14" x14ac:dyDescent="0.25">
      <c r="C85" s="3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</row>
    <row r="86" spans="3:14" x14ac:dyDescent="0.25">
      <c r="C86" s="3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</row>
    <row r="87" spans="3:14" x14ac:dyDescent="0.25">
      <c r="J87" s="5"/>
      <c r="K87" s="5"/>
      <c r="L87" s="5"/>
      <c r="M87" s="5"/>
      <c r="N87" s="5"/>
    </row>
    <row r="88" spans="3:14" x14ac:dyDescent="0.25">
      <c r="N88" s="5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ivot">
                <anchor moveWithCells="1" sizeWithCells="1">
                  <from>
                    <xdr:col>3</xdr:col>
                    <xdr:colOff>76200</xdr:colOff>
                    <xdr:row>2</xdr:row>
                    <xdr:rowOff>38100</xdr:rowOff>
                  </from>
                  <to>
                    <xdr:col>4</xdr:col>
                    <xdr:colOff>76200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VisSomBrøker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VisSomDecimaltal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"/>
  <dimension ref="A1:K35"/>
  <sheetViews>
    <sheetView topLeftCell="A10" zoomScale="133" workbookViewId="0">
      <selection activeCell="B22" sqref="B22:F24"/>
    </sheetView>
  </sheetViews>
  <sheetFormatPr defaultColWidth="8.7109375" defaultRowHeight="15" x14ac:dyDescent="0.25"/>
  <sheetData>
    <row r="1" spans="1:7" x14ac:dyDescent="0.25">
      <c r="A1" t="s">
        <v>5</v>
      </c>
      <c r="B1">
        <v>1</v>
      </c>
      <c r="C1">
        <v>0</v>
      </c>
      <c r="D1">
        <v>0</v>
      </c>
    </row>
    <row r="2" spans="1:7" x14ac:dyDescent="0.25">
      <c r="B2">
        <v>0</v>
      </c>
      <c r="C2">
        <v>1</v>
      </c>
      <c r="D2">
        <v>0</v>
      </c>
    </row>
    <row r="3" spans="1:7" x14ac:dyDescent="0.25">
      <c r="B3">
        <v>0</v>
      </c>
      <c r="C3">
        <v>0</v>
      </c>
      <c r="D3">
        <v>1</v>
      </c>
    </row>
    <row r="5" spans="1:7" x14ac:dyDescent="0.25">
      <c r="A5" t="s">
        <v>14</v>
      </c>
      <c r="B5" cm="1">
        <f t="array" ref="B5:D7">MINVERSE(B1:D3)</f>
        <v>1</v>
      </c>
      <c r="C5">
        <v>0</v>
      </c>
      <c r="D5">
        <v>0</v>
      </c>
    </row>
    <row r="6" spans="1:7" x14ac:dyDescent="0.25">
      <c r="B6">
        <v>0</v>
      </c>
      <c r="C6">
        <v>1</v>
      </c>
      <c r="D6">
        <v>0</v>
      </c>
    </row>
    <row r="7" spans="1:7" x14ac:dyDescent="0.25">
      <c r="B7">
        <v>0</v>
      </c>
      <c r="C7">
        <v>0</v>
      </c>
      <c r="D7">
        <v>1</v>
      </c>
    </row>
    <row r="9" spans="1:7" x14ac:dyDescent="0.25">
      <c r="A9" t="s">
        <v>6</v>
      </c>
      <c r="B9">
        <v>1</v>
      </c>
      <c r="C9">
        <v>0</v>
      </c>
      <c r="D9">
        <v>3</v>
      </c>
      <c r="E9">
        <v>1</v>
      </c>
      <c r="F9">
        <v>0</v>
      </c>
      <c r="G9">
        <v>0</v>
      </c>
    </row>
    <row r="10" spans="1:7" x14ac:dyDescent="0.25">
      <c r="B10">
        <v>0</v>
      </c>
      <c r="C10">
        <v>2</v>
      </c>
      <c r="D10">
        <v>3</v>
      </c>
      <c r="E10">
        <v>0</v>
      </c>
      <c r="F10">
        <v>1</v>
      </c>
      <c r="G10">
        <v>0</v>
      </c>
    </row>
    <row r="11" spans="1:7" x14ac:dyDescent="0.25">
      <c r="B11">
        <v>2</v>
      </c>
      <c r="C11">
        <v>1</v>
      </c>
      <c r="D11">
        <v>1</v>
      </c>
      <c r="E11">
        <v>0</v>
      </c>
      <c r="F11">
        <v>0</v>
      </c>
      <c r="G11">
        <v>-1</v>
      </c>
    </row>
    <row r="16" spans="1:7" x14ac:dyDescent="0.25">
      <c r="A16" t="s">
        <v>7</v>
      </c>
      <c r="B16" cm="1">
        <f t="array" ref="B16:G18">MMULT(_xlfn.ANCHORARRAY(B5),B9:G11)</f>
        <v>1</v>
      </c>
      <c r="C16">
        <v>0</v>
      </c>
      <c r="D16">
        <v>3</v>
      </c>
      <c r="E16">
        <v>1</v>
      </c>
      <c r="F16">
        <v>0</v>
      </c>
      <c r="G16">
        <v>0</v>
      </c>
    </row>
    <row r="17" spans="2:11" x14ac:dyDescent="0.25">
      <c r="B17">
        <v>0</v>
      </c>
      <c r="C17">
        <v>2</v>
      </c>
      <c r="D17">
        <v>3</v>
      </c>
      <c r="E17">
        <v>0</v>
      </c>
      <c r="F17">
        <v>1</v>
      </c>
      <c r="G17">
        <v>0</v>
      </c>
    </row>
    <row r="18" spans="2:11" x14ac:dyDescent="0.25">
      <c r="B18">
        <v>2</v>
      </c>
      <c r="C18">
        <v>1</v>
      </c>
      <c r="D18">
        <v>1</v>
      </c>
      <c r="E18">
        <v>0</v>
      </c>
      <c r="F18">
        <v>0</v>
      </c>
      <c r="G18">
        <v>-1</v>
      </c>
    </row>
    <row r="22" spans="2:11" x14ac:dyDescent="0.25">
      <c r="B22" s="19">
        <v>2</v>
      </c>
      <c r="C22" s="19">
        <v>1</v>
      </c>
      <c r="D22" s="20">
        <v>0</v>
      </c>
      <c r="E22" s="19">
        <v>0</v>
      </c>
      <c r="F22" s="21">
        <v>0</v>
      </c>
      <c r="G22" s="19"/>
      <c r="H22" s="21"/>
      <c r="I22" s="19"/>
      <c r="J22" s="19"/>
      <c r="K22" s="21"/>
    </row>
    <row r="23" spans="2:11" x14ac:dyDescent="0.25">
      <c r="B23" s="22">
        <v>-4</v>
      </c>
      <c r="C23" s="23">
        <v>-3</v>
      </c>
      <c r="D23" s="23">
        <v>1</v>
      </c>
      <c r="E23" s="22">
        <v>0</v>
      </c>
      <c r="F23" s="21">
        <v>-30</v>
      </c>
      <c r="G23" s="22"/>
      <c r="H23" s="21"/>
      <c r="I23" s="22"/>
      <c r="J23" s="22"/>
      <c r="K23" s="21"/>
    </row>
    <row r="24" spans="2:11" x14ac:dyDescent="0.25">
      <c r="B24" s="22">
        <v>-4</v>
      </c>
      <c r="C24" s="23">
        <v>-1</v>
      </c>
      <c r="D24" s="23">
        <v>0</v>
      </c>
      <c r="E24" s="22">
        <v>1</v>
      </c>
      <c r="F24" s="21">
        <v>-10</v>
      </c>
      <c r="G24" s="22"/>
      <c r="H24" s="21"/>
      <c r="I24" s="22"/>
      <c r="J24" s="22"/>
      <c r="K24" s="21"/>
    </row>
    <row r="25" spans="2:11" x14ac:dyDescent="0.25">
      <c r="B25" s="22"/>
      <c r="C25" s="23"/>
      <c r="D25" s="23"/>
      <c r="E25" s="22"/>
      <c r="F25" s="22"/>
      <c r="G25" s="22"/>
      <c r="H25" s="21"/>
      <c r="I25" s="22"/>
      <c r="J25" s="22"/>
      <c r="K25" s="21"/>
    </row>
    <row r="27" spans="2:11" x14ac:dyDescent="0.25">
      <c r="B27" s="19">
        <v>-2</v>
      </c>
      <c r="C27" s="19">
        <v>-1</v>
      </c>
      <c r="D27" s="20">
        <v>-2</v>
      </c>
      <c r="E27" s="19">
        <v>0</v>
      </c>
      <c r="F27" s="19">
        <v>0</v>
      </c>
      <c r="G27" s="19">
        <v>1</v>
      </c>
      <c r="H27" s="21">
        <v>0</v>
      </c>
      <c r="I27" s="19"/>
      <c r="J27" s="19"/>
      <c r="K27" s="21"/>
    </row>
    <row r="28" spans="2:11" x14ac:dyDescent="0.25">
      <c r="B28" s="22">
        <v>4</v>
      </c>
      <c r="C28" s="23">
        <v>3</v>
      </c>
      <c r="D28" s="23">
        <v>8</v>
      </c>
      <c r="E28" s="22">
        <v>1</v>
      </c>
      <c r="F28" s="22">
        <v>0</v>
      </c>
      <c r="G28" s="22">
        <v>0</v>
      </c>
      <c r="H28" s="21">
        <v>12</v>
      </c>
      <c r="I28" s="22"/>
      <c r="J28" s="22"/>
      <c r="K28" s="21"/>
    </row>
    <row r="29" spans="2:11" x14ac:dyDescent="0.25">
      <c r="B29" s="22">
        <v>4</v>
      </c>
      <c r="C29" s="23">
        <v>1</v>
      </c>
      <c r="D29" s="23">
        <v>12</v>
      </c>
      <c r="E29" s="22">
        <v>0</v>
      </c>
      <c r="F29" s="22">
        <v>1</v>
      </c>
      <c r="G29" s="22">
        <v>0</v>
      </c>
      <c r="H29" s="21">
        <v>8</v>
      </c>
      <c r="I29" s="22"/>
      <c r="J29" s="22"/>
      <c r="K29" s="21"/>
    </row>
    <row r="30" spans="2:11" x14ac:dyDescent="0.25">
      <c r="B30" s="22">
        <v>4</v>
      </c>
      <c r="C30" s="23">
        <v>-1</v>
      </c>
      <c r="D30" s="23">
        <v>3</v>
      </c>
      <c r="E30" s="22">
        <v>0</v>
      </c>
      <c r="F30" s="22">
        <v>0</v>
      </c>
      <c r="G30" s="22">
        <v>1</v>
      </c>
      <c r="H30" s="21">
        <v>8</v>
      </c>
      <c r="I30" s="22"/>
      <c r="J30" s="22"/>
      <c r="K30" s="21"/>
    </row>
    <row r="32" spans="2:11" x14ac:dyDescent="0.25">
      <c r="B32" s="19"/>
      <c r="C32" s="19"/>
      <c r="D32" s="20"/>
      <c r="E32" s="19"/>
      <c r="F32" s="19"/>
      <c r="G32" s="19"/>
      <c r="H32" s="19"/>
      <c r="I32" s="19"/>
      <c r="J32" s="19"/>
      <c r="K32" s="21"/>
    </row>
    <row r="33" spans="2:11" x14ac:dyDescent="0.25">
      <c r="B33" s="22"/>
      <c r="C33" s="23"/>
      <c r="D33" s="23"/>
      <c r="E33" s="22"/>
      <c r="F33" s="22"/>
      <c r="G33" s="22"/>
      <c r="H33" s="22"/>
      <c r="I33" s="22"/>
      <c r="J33" s="22"/>
      <c r="K33" s="21"/>
    </row>
    <row r="34" spans="2:11" x14ac:dyDescent="0.25">
      <c r="B34" s="22"/>
      <c r="C34" s="23"/>
      <c r="D34" s="23"/>
      <c r="E34" s="22"/>
      <c r="F34" s="22"/>
      <c r="G34" s="22"/>
      <c r="H34" s="22"/>
      <c r="I34" s="22"/>
      <c r="J34" s="22"/>
      <c r="K34" s="21"/>
    </row>
    <row r="35" spans="2:11" x14ac:dyDescent="0.25">
      <c r="B35" s="22"/>
      <c r="C35" s="23"/>
      <c r="D35" s="23"/>
      <c r="E35" s="22"/>
      <c r="F35" s="22"/>
      <c r="G35" s="22"/>
      <c r="H35" s="22"/>
      <c r="I35" s="22"/>
      <c r="J35" s="22"/>
      <c r="K35" s="2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Sheet1</vt:lpstr>
      <vt:lpstr>Ark1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Teodoridis</dc:creator>
  <cp:lastModifiedBy>asger konradi</cp:lastModifiedBy>
  <dcterms:created xsi:type="dcterms:W3CDTF">2006-09-16T00:00:00Z</dcterms:created>
  <dcterms:modified xsi:type="dcterms:W3CDTF">2024-11-04T10:16:42Z</dcterms:modified>
</cp:coreProperties>
</file>