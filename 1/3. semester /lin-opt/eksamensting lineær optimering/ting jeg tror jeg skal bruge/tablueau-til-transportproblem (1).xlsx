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e/Documents/uni/lin optimering/laura linopt/Linear optimization/Opgave typer/"/>
    </mc:Choice>
  </mc:AlternateContent>
  <xr:revisionPtr revIDLastSave="0" documentId="8_{8BEB8304-5CB4-6340-9752-B2E0F568FAEB}" xr6:coauthVersionLast="47" xr6:coauthVersionMax="47" xr10:uidLastSave="{00000000-0000-0000-0000-000000000000}"/>
  <bookViews>
    <workbookView xWindow="0" yWindow="760" windowWidth="30240" windowHeight="17520" firstSheet="1" activeTab="2" xr2:uid="{7371221E-810A-4941-87C9-EA379610E215}"/>
  </bookViews>
  <sheets>
    <sheet name="Ark1" sheetId="1" r:id="rId1"/>
    <sheet name="Ark2" sheetId="2" r:id="rId2"/>
    <sheet name="Ark4" sheetId="4" r:id="rId3"/>
    <sheet name="Ark3" sheetId="3" r:id="rId4"/>
  </sheets>
  <definedNames>
    <definedName name="solver_adj" localSheetId="1" hidden="1">'Ark2'!$B$15:$E$17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'Ark2'!$B$15:$E$17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'Ark2'!$C$20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hs1" localSheetId="1" hidden="1">0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4" l="1"/>
  <c r="L81" i="4"/>
  <c r="K81" i="4"/>
  <c r="J81" i="4"/>
  <c r="I81" i="4"/>
  <c r="F81" i="4"/>
  <c r="C82" i="4"/>
  <c r="D82" i="4"/>
  <c r="E82" i="4"/>
  <c r="B82" i="4"/>
  <c r="L65" i="4"/>
  <c r="K65" i="4"/>
  <c r="J65" i="4"/>
  <c r="I65" i="4"/>
  <c r="F65" i="4"/>
  <c r="C66" i="4"/>
  <c r="D66" i="4"/>
  <c r="E66" i="4"/>
  <c r="B66" i="4"/>
  <c r="L49" i="4"/>
  <c r="K49" i="4"/>
  <c r="J49" i="4"/>
  <c r="I49" i="4"/>
  <c r="F49" i="4"/>
  <c r="C50" i="4"/>
  <c r="D50" i="4"/>
  <c r="E50" i="4"/>
  <c r="B50" i="4"/>
  <c r="J32" i="4"/>
  <c r="K32" i="4"/>
  <c r="L32" i="4"/>
  <c r="J33" i="4"/>
  <c r="K33" i="4"/>
  <c r="L33" i="4"/>
  <c r="I33" i="4"/>
  <c r="C34" i="4"/>
  <c r="D34" i="4"/>
  <c r="E34" i="4"/>
  <c r="B34" i="4"/>
  <c r="F33" i="4"/>
  <c r="K18" i="4"/>
  <c r="J18" i="4"/>
  <c r="I18" i="4"/>
  <c r="L18" i="4"/>
  <c r="F18" i="4"/>
  <c r="C19" i="4"/>
  <c r="E19" i="4"/>
  <c r="B19" i="4"/>
  <c r="L80" i="4" l="1"/>
  <c r="K80" i="4"/>
  <c r="J80" i="4"/>
  <c r="I80" i="4"/>
  <c r="F80" i="4"/>
  <c r="L79" i="4"/>
  <c r="K79" i="4"/>
  <c r="J79" i="4"/>
  <c r="I79" i="4"/>
  <c r="F79" i="4"/>
  <c r="L78" i="4"/>
  <c r="K78" i="4"/>
  <c r="J78" i="4"/>
  <c r="I78" i="4"/>
  <c r="F78" i="4"/>
  <c r="L64" i="4"/>
  <c r="K64" i="4"/>
  <c r="J64" i="4"/>
  <c r="I64" i="4"/>
  <c r="F64" i="4"/>
  <c r="L63" i="4"/>
  <c r="K63" i="4"/>
  <c r="J63" i="4"/>
  <c r="I63" i="4"/>
  <c r="F63" i="4"/>
  <c r="L62" i="4"/>
  <c r="K62" i="4"/>
  <c r="J62" i="4"/>
  <c r="I62" i="4"/>
  <c r="F62" i="4"/>
  <c r="L48" i="4"/>
  <c r="K48" i="4"/>
  <c r="J48" i="4"/>
  <c r="I48" i="4"/>
  <c r="F48" i="4"/>
  <c r="L47" i="4"/>
  <c r="K47" i="4"/>
  <c r="J47" i="4"/>
  <c r="I47" i="4"/>
  <c r="F47" i="4"/>
  <c r="L46" i="4"/>
  <c r="K46" i="4"/>
  <c r="J46" i="4"/>
  <c r="I46" i="4"/>
  <c r="F46" i="4"/>
  <c r="I32" i="4"/>
  <c r="L31" i="4"/>
  <c r="K31" i="4"/>
  <c r="J31" i="4"/>
  <c r="I31" i="4"/>
  <c r="F31" i="4"/>
  <c r="L30" i="4"/>
  <c r="K30" i="4"/>
  <c r="J30" i="4"/>
  <c r="I30" i="4"/>
  <c r="F30" i="4"/>
  <c r="L17" i="4"/>
  <c r="K17" i="4"/>
  <c r="J17" i="4"/>
  <c r="I17" i="4"/>
  <c r="L16" i="4"/>
  <c r="K16" i="4"/>
  <c r="J16" i="4"/>
  <c r="I16" i="4"/>
  <c r="F16" i="4"/>
  <c r="L15" i="4"/>
  <c r="K15" i="4"/>
  <c r="J15" i="4"/>
  <c r="I15" i="4"/>
  <c r="F15" i="4"/>
  <c r="B15" i="4" s="1"/>
  <c r="B16" i="3"/>
  <c r="B15" i="3"/>
  <c r="C19" i="3"/>
  <c r="D19" i="3"/>
  <c r="E19" i="3"/>
  <c r="B19" i="3"/>
  <c r="F16" i="3"/>
  <c r="F17" i="3"/>
  <c r="F18" i="3"/>
  <c r="C18" i="3"/>
  <c r="D18" i="3"/>
  <c r="E18" i="3"/>
  <c r="B18" i="3"/>
  <c r="B16" i="4" l="1"/>
  <c r="B31" i="4" s="1"/>
  <c r="B17" i="4" l="1"/>
  <c r="B32" i="4" s="1"/>
  <c r="B48" i="4" s="1"/>
  <c r="B64" i="4" s="1"/>
  <c r="B80" i="4" s="1"/>
  <c r="C15" i="4"/>
  <c r="B30" i="4"/>
  <c r="B46" i="4" s="1"/>
  <c r="C30" i="4" l="1"/>
  <c r="C46" i="4" s="1"/>
  <c r="C62" i="4" s="1"/>
  <c r="C78" i="4" s="1"/>
  <c r="B18" i="4"/>
  <c r="B33" i="4" s="1"/>
  <c r="B49" i="4" s="1"/>
  <c r="B65" i="4" s="1"/>
  <c r="B81" i="4" s="1"/>
  <c r="D15" i="4"/>
  <c r="D30" i="4" s="1"/>
  <c r="D46" i="4" s="1"/>
  <c r="D62" i="4" s="1"/>
  <c r="D78" i="4" s="1"/>
  <c r="B47" i="4"/>
  <c r="B63" i="4" s="1"/>
  <c r="B79" i="4" s="1"/>
  <c r="C16" i="4"/>
  <c r="C17" i="4" s="1"/>
  <c r="B62" i="4"/>
  <c r="C18" i="4" l="1"/>
  <c r="C33" i="4" s="1"/>
  <c r="C49" i="4" s="1"/>
  <c r="C65" i="4" s="1"/>
  <c r="C81" i="4" s="1"/>
  <c r="E15" i="4"/>
  <c r="E30" i="4" s="1"/>
  <c r="E46" i="4" s="1"/>
  <c r="E62" i="4" s="1"/>
  <c r="E78" i="4" s="1"/>
  <c r="C31" i="4"/>
  <c r="D16" i="4"/>
  <c r="D31" i="4" s="1"/>
  <c r="D47" i="4" s="1"/>
  <c r="D63" i="4" s="1"/>
  <c r="D79" i="4" s="1"/>
  <c r="C32" i="4"/>
  <c r="C48" i="4" s="1"/>
  <c r="B78" i="4"/>
  <c r="C64" i="4" l="1"/>
  <c r="C80" i="4" s="1"/>
  <c r="C47" i="4"/>
  <c r="C63" i="4" s="1"/>
  <c r="C79" i="4" s="1"/>
  <c r="D17" i="4"/>
  <c r="D32" i="4" s="1"/>
  <c r="E16" i="4"/>
  <c r="E31" i="4" s="1"/>
  <c r="E47" i="4" s="1"/>
  <c r="E63" i="4" s="1"/>
  <c r="E79" i="4" s="1"/>
  <c r="B30" i="2"/>
  <c r="C78" i="2"/>
  <c r="D78" i="2"/>
  <c r="E78" i="2"/>
  <c r="B78" i="2"/>
  <c r="C63" i="2"/>
  <c r="D63" i="2"/>
  <c r="E63" i="2"/>
  <c r="B63" i="2"/>
  <c r="C48" i="2"/>
  <c r="D48" i="2"/>
  <c r="E48" i="2"/>
  <c r="B48" i="2"/>
  <c r="C33" i="2"/>
  <c r="D33" i="2"/>
  <c r="E33" i="2"/>
  <c r="B33" i="2"/>
  <c r="C18" i="2"/>
  <c r="D18" i="2"/>
  <c r="E18" i="2"/>
  <c r="B18" i="2"/>
  <c r="F76" i="2"/>
  <c r="F77" i="2"/>
  <c r="F75" i="2"/>
  <c r="F61" i="2"/>
  <c r="F62" i="2"/>
  <c r="F60" i="2"/>
  <c r="F46" i="2"/>
  <c r="F47" i="2"/>
  <c r="F45" i="2"/>
  <c r="F31" i="2"/>
  <c r="F32" i="2"/>
  <c r="F30" i="2"/>
  <c r="F16" i="2"/>
  <c r="F17" i="2"/>
  <c r="F15" i="2"/>
  <c r="I45" i="3"/>
  <c r="L46" i="3"/>
  <c r="C48" i="3"/>
  <c r="D48" i="3"/>
  <c r="E48" i="3"/>
  <c r="F76" i="3"/>
  <c r="F77" i="3"/>
  <c r="F75" i="3"/>
  <c r="F61" i="3"/>
  <c r="F62" i="3"/>
  <c r="F60" i="3"/>
  <c r="F46" i="3"/>
  <c r="F47" i="3"/>
  <c r="F45" i="3"/>
  <c r="B17" i="3"/>
  <c r="F15" i="3"/>
  <c r="C78" i="3"/>
  <c r="D78" i="3"/>
  <c r="E78" i="3"/>
  <c r="B78" i="3"/>
  <c r="C63" i="3"/>
  <c r="D63" i="3"/>
  <c r="E63" i="3"/>
  <c r="B63" i="3"/>
  <c r="B48" i="3"/>
  <c r="B33" i="3"/>
  <c r="C33" i="3"/>
  <c r="D33" i="3"/>
  <c r="E33" i="3"/>
  <c r="F31" i="3"/>
  <c r="F32" i="3"/>
  <c r="F30" i="3"/>
  <c r="I15" i="3"/>
  <c r="L77" i="3"/>
  <c r="K77" i="3"/>
  <c r="J77" i="3"/>
  <c r="I77" i="3"/>
  <c r="L76" i="3"/>
  <c r="K76" i="3"/>
  <c r="J76" i="3"/>
  <c r="I76" i="3"/>
  <c r="L75" i="3"/>
  <c r="K75" i="3"/>
  <c r="J75" i="3"/>
  <c r="I75" i="3"/>
  <c r="L62" i="3"/>
  <c r="K62" i="3"/>
  <c r="J62" i="3"/>
  <c r="I62" i="3"/>
  <c r="L61" i="3"/>
  <c r="K61" i="3"/>
  <c r="J61" i="3"/>
  <c r="I61" i="3"/>
  <c r="L60" i="3"/>
  <c r="K60" i="3"/>
  <c r="J60" i="3"/>
  <c r="I60" i="3"/>
  <c r="L47" i="3"/>
  <c r="K47" i="3"/>
  <c r="J47" i="3"/>
  <c r="I47" i="3"/>
  <c r="K46" i="3"/>
  <c r="J46" i="3"/>
  <c r="I46" i="3"/>
  <c r="L45" i="3"/>
  <c r="K45" i="3"/>
  <c r="J45" i="3"/>
  <c r="L32" i="3"/>
  <c r="K32" i="3"/>
  <c r="J32" i="3"/>
  <c r="I32" i="3"/>
  <c r="L31" i="3"/>
  <c r="K31" i="3"/>
  <c r="J31" i="3"/>
  <c r="I31" i="3"/>
  <c r="L30" i="3"/>
  <c r="K30" i="3"/>
  <c r="J30" i="3"/>
  <c r="I30" i="3"/>
  <c r="L17" i="3"/>
  <c r="K17" i="3"/>
  <c r="J17" i="3"/>
  <c r="I17" i="3"/>
  <c r="L16" i="3"/>
  <c r="K16" i="3"/>
  <c r="J16" i="3"/>
  <c r="I16" i="3"/>
  <c r="L15" i="3"/>
  <c r="K15" i="3"/>
  <c r="J15" i="3"/>
  <c r="J77" i="2"/>
  <c r="K77" i="2"/>
  <c r="L77" i="2"/>
  <c r="J76" i="2"/>
  <c r="K76" i="2"/>
  <c r="L76" i="2"/>
  <c r="I76" i="2"/>
  <c r="I77" i="2"/>
  <c r="J75" i="2"/>
  <c r="K75" i="2"/>
  <c r="L75" i="2"/>
  <c r="I75" i="2"/>
  <c r="L60" i="2"/>
  <c r="J62" i="2"/>
  <c r="K62" i="2"/>
  <c r="L62" i="2"/>
  <c r="J61" i="2"/>
  <c r="K61" i="2"/>
  <c r="L61" i="2"/>
  <c r="J60" i="2"/>
  <c r="K60" i="2"/>
  <c r="I61" i="2"/>
  <c r="I62" i="2"/>
  <c r="I60" i="2"/>
  <c r="I47" i="2"/>
  <c r="J47" i="2"/>
  <c r="K47" i="2"/>
  <c r="L47" i="2"/>
  <c r="J46" i="2"/>
  <c r="K46" i="2"/>
  <c r="L46" i="2"/>
  <c r="J45" i="2"/>
  <c r="K45" i="2"/>
  <c r="L45" i="2"/>
  <c r="I46" i="2"/>
  <c r="I45" i="2"/>
  <c r="J32" i="2"/>
  <c r="K32" i="2"/>
  <c r="L32" i="2"/>
  <c r="J31" i="2"/>
  <c r="K31" i="2"/>
  <c r="L31" i="2"/>
  <c r="J30" i="2"/>
  <c r="K30" i="2"/>
  <c r="L30" i="2"/>
  <c r="I31" i="2"/>
  <c r="I32" i="2"/>
  <c r="I30" i="2"/>
  <c r="I15" i="2"/>
  <c r="J17" i="2"/>
  <c r="K17" i="2"/>
  <c r="L17" i="2"/>
  <c r="J16" i="2"/>
  <c r="K16" i="2"/>
  <c r="L16" i="2"/>
  <c r="J15" i="2"/>
  <c r="K15" i="2"/>
  <c r="L15" i="2"/>
  <c r="I16" i="2"/>
  <c r="I17" i="2"/>
  <c r="F31" i="1"/>
  <c r="E31" i="1"/>
  <c r="D31" i="1"/>
  <c r="C31" i="1"/>
  <c r="G30" i="1"/>
  <c r="G29" i="1"/>
  <c r="G28" i="1"/>
  <c r="C21" i="1"/>
  <c r="C28" i="1" s="1"/>
  <c r="D14" i="1"/>
  <c r="E14" i="1"/>
  <c r="F14" i="1"/>
  <c r="C14" i="1"/>
  <c r="F12" i="1"/>
  <c r="E12" i="1"/>
  <c r="D12" i="1"/>
  <c r="D13" i="1"/>
  <c r="E13" i="1"/>
  <c r="F13" i="1"/>
  <c r="C13" i="1"/>
  <c r="G13" i="1"/>
  <c r="G14" i="1"/>
  <c r="G12" i="1"/>
  <c r="D15" i="1"/>
  <c r="E15" i="1"/>
  <c r="F15" i="1"/>
  <c r="C15" i="1"/>
  <c r="C12" i="1"/>
  <c r="C6" i="1"/>
  <c r="D6" i="1" s="1"/>
  <c r="C7" i="1"/>
  <c r="F5" i="1"/>
  <c r="E5" i="1"/>
  <c r="D5" i="1"/>
  <c r="C5" i="1"/>
  <c r="E17" i="4" l="1"/>
  <c r="E32" i="4" s="1"/>
  <c r="D18" i="4"/>
  <c r="D48" i="4"/>
  <c r="D64" i="4" s="1"/>
  <c r="B15" i="2"/>
  <c r="B17" i="2"/>
  <c r="B32" i="2" s="1"/>
  <c r="B47" i="2" s="1"/>
  <c r="B62" i="2" s="1"/>
  <c r="B77" i="2" s="1"/>
  <c r="B31" i="3"/>
  <c r="B46" i="3" s="1"/>
  <c r="B61" i="3" s="1"/>
  <c r="B76" i="3" s="1"/>
  <c r="B32" i="3"/>
  <c r="B47" i="3" s="1"/>
  <c r="B62" i="3" s="1"/>
  <c r="B77" i="3" s="1"/>
  <c r="C15" i="3"/>
  <c r="B30" i="3"/>
  <c r="C23" i="1"/>
  <c r="D21" i="1"/>
  <c r="C22" i="1"/>
  <c r="E6" i="1"/>
  <c r="F6" i="1" s="1"/>
  <c r="D7" i="1"/>
  <c r="E18" i="4" l="1"/>
  <c r="D33" i="4"/>
  <c r="D49" i="4" s="1"/>
  <c r="D65" i="4" s="1"/>
  <c r="D81" i="4" s="1"/>
  <c r="E48" i="4"/>
  <c r="B16" i="2"/>
  <c r="C15" i="2"/>
  <c r="D15" i="2" s="1"/>
  <c r="B45" i="2"/>
  <c r="B45" i="3"/>
  <c r="C30" i="3"/>
  <c r="C45" i="3" s="1"/>
  <c r="C60" i="3" s="1"/>
  <c r="C75" i="3" s="1"/>
  <c r="D15" i="3"/>
  <c r="C16" i="3"/>
  <c r="C17" i="3" s="1"/>
  <c r="D28" i="1"/>
  <c r="E21" i="1"/>
  <c r="E28" i="1" s="1"/>
  <c r="C30" i="1"/>
  <c r="D22" i="1"/>
  <c r="C29" i="1"/>
  <c r="E7" i="1"/>
  <c r="F7" i="1" s="1"/>
  <c r="E64" i="4" l="1"/>
  <c r="E80" i="4" s="1"/>
  <c r="E33" i="4"/>
  <c r="C20" i="4"/>
  <c r="D80" i="4"/>
  <c r="C16" i="2"/>
  <c r="E15" i="2"/>
  <c r="E30" i="2" s="1"/>
  <c r="E45" i="2" s="1"/>
  <c r="E60" i="2" s="1"/>
  <c r="E75" i="2" s="1"/>
  <c r="C30" i="2"/>
  <c r="C45" i="2" s="1"/>
  <c r="C60" i="2" s="1"/>
  <c r="C75" i="2" s="1"/>
  <c r="B31" i="2"/>
  <c r="B46" i="2" s="1"/>
  <c r="B61" i="2" s="1"/>
  <c r="B76" i="2" s="1"/>
  <c r="D16" i="2"/>
  <c r="D31" i="2" s="1"/>
  <c r="D46" i="2" s="1"/>
  <c r="D61" i="2" s="1"/>
  <c r="D76" i="2" s="1"/>
  <c r="C31" i="2"/>
  <c r="C46" i="2" s="1"/>
  <c r="C61" i="2" s="1"/>
  <c r="C76" i="2" s="1"/>
  <c r="B60" i="2"/>
  <c r="C17" i="2"/>
  <c r="D30" i="2"/>
  <c r="C32" i="3"/>
  <c r="C47" i="3" s="1"/>
  <c r="C62" i="3" s="1"/>
  <c r="C77" i="3" s="1"/>
  <c r="C31" i="3"/>
  <c r="C46" i="3" s="1"/>
  <c r="C61" i="3" s="1"/>
  <c r="C76" i="3" s="1"/>
  <c r="D16" i="3"/>
  <c r="D31" i="3" s="1"/>
  <c r="D46" i="3" s="1"/>
  <c r="D61" i="3" s="1"/>
  <c r="D76" i="3" s="1"/>
  <c r="D30" i="3"/>
  <c r="D45" i="3" s="1"/>
  <c r="D60" i="3" s="1"/>
  <c r="D75" i="3" s="1"/>
  <c r="E15" i="3"/>
  <c r="B60" i="3"/>
  <c r="E22" i="1"/>
  <c r="D29" i="1"/>
  <c r="F21" i="1"/>
  <c r="F28" i="1" s="1"/>
  <c r="D23" i="1"/>
  <c r="C36" i="4" l="1"/>
  <c r="E49" i="4"/>
  <c r="E16" i="2"/>
  <c r="E31" i="2" s="1"/>
  <c r="E46" i="2" s="1"/>
  <c r="E61" i="2" s="1"/>
  <c r="E76" i="2" s="1"/>
  <c r="D45" i="2"/>
  <c r="D17" i="2"/>
  <c r="C32" i="2"/>
  <c r="C47" i="2" s="1"/>
  <c r="C62" i="2" s="1"/>
  <c r="C77" i="2" s="1"/>
  <c r="B75" i="2"/>
  <c r="E16" i="3"/>
  <c r="E31" i="3" s="1"/>
  <c r="E46" i="3" s="1"/>
  <c r="E61" i="3" s="1"/>
  <c r="E76" i="3" s="1"/>
  <c r="B75" i="3"/>
  <c r="E30" i="3"/>
  <c r="D17" i="3"/>
  <c r="F22" i="1"/>
  <c r="F29" i="1" s="1"/>
  <c r="D30" i="1"/>
  <c r="E23" i="1"/>
  <c r="E30" i="1" s="1"/>
  <c r="C52" i="4" l="1"/>
  <c r="E65" i="4"/>
  <c r="D32" i="2"/>
  <c r="D47" i="2" s="1"/>
  <c r="D62" i="2" s="1"/>
  <c r="D77" i="2" s="1"/>
  <c r="E17" i="2"/>
  <c r="D60" i="2"/>
  <c r="D32" i="3"/>
  <c r="D47" i="3" s="1"/>
  <c r="D62" i="3" s="1"/>
  <c r="D77" i="3" s="1"/>
  <c r="E17" i="3"/>
  <c r="E32" i="3" s="1"/>
  <c r="E47" i="3" s="1"/>
  <c r="E62" i="3" s="1"/>
  <c r="E77" i="3" s="1"/>
  <c r="C21" i="3"/>
  <c r="E45" i="3"/>
  <c r="F23" i="1"/>
  <c r="F30" i="1" s="1"/>
  <c r="E81" i="4" l="1"/>
  <c r="C84" i="4" s="1"/>
  <c r="C68" i="4"/>
  <c r="D75" i="2"/>
  <c r="E32" i="2"/>
  <c r="C20" i="2"/>
  <c r="C35" i="3"/>
  <c r="E60" i="3"/>
  <c r="C50" i="3"/>
  <c r="E47" i="2" l="1"/>
  <c r="C35" i="2"/>
  <c r="E75" i="3"/>
  <c r="C80" i="3" s="1"/>
  <c r="C65" i="3"/>
  <c r="E62" i="2" l="1"/>
  <c r="C50" i="2"/>
  <c r="E77" i="2" l="1"/>
  <c r="C80" i="2" s="1"/>
  <c r="C65" i="2"/>
</calcChain>
</file>

<file path=xl/sharedStrings.xml><?xml version="1.0" encoding="utf-8"?>
<sst xmlns="http://schemas.openxmlformats.org/spreadsheetml/2006/main" count="503" uniqueCount="33">
  <si>
    <t xml:space="preserve">Tabel nord vest hjørne reglen </t>
  </si>
  <si>
    <t>U_1</t>
  </si>
  <si>
    <t>U_2</t>
  </si>
  <si>
    <t xml:space="preserve">U_3 </t>
  </si>
  <si>
    <t>E_1</t>
  </si>
  <si>
    <t>E_2</t>
  </si>
  <si>
    <t>E_3</t>
  </si>
  <si>
    <t>E_4</t>
  </si>
  <si>
    <t>Udbud</t>
  </si>
  <si>
    <t>efterspørgsel</t>
  </si>
  <si>
    <t>Tabel nord vest hjørne reglen til brug</t>
  </si>
  <si>
    <t xml:space="preserve">Reducerede omkostninger </t>
  </si>
  <si>
    <t>duale variable</t>
  </si>
  <si>
    <t>u\v</t>
  </si>
  <si>
    <t>U_3</t>
  </si>
  <si>
    <t>Omkostninger</t>
  </si>
  <si>
    <t>Basis løsning</t>
  </si>
  <si>
    <t>Objektværdi</t>
  </si>
  <si>
    <t>1. iteration</t>
  </si>
  <si>
    <t>2. iteration</t>
  </si>
  <si>
    <t>ind i basis</t>
  </si>
  <si>
    <t>Ændring</t>
  </si>
  <si>
    <t>delta</t>
  </si>
  <si>
    <t>x</t>
  </si>
  <si>
    <t>Backwardskanter</t>
  </si>
  <si>
    <t>f</t>
  </si>
  <si>
    <t>3. iteration</t>
  </si>
  <si>
    <t>4. iteration</t>
  </si>
  <si>
    <t>5. iteration</t>
  </si>
  <si>
    <t xml:space="preserve">E_4 </t>
  </si>
  <si>
    <t>U_4</t>
  </si>
  <si>
    <t xml:space="preserve">U_4 </t>
  </si>
  <si>
    <t>u_4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</si>
</sst>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8221-418B-4E4E-B958-51137D2A606B}">
  <dimension ref="A2:G31"/>
  <sheetViews>
    <sheetView workbookViewId="0">
      <selection activeCell="C21" sqref="C21:F23"/>
    </sheetView>
  </sheetViews>
  <sheetFormatPr baseColWidth="10" defaultColWidth="8.83203125" defaultRowHeight="15" x14ac:dyDescent="0.2"/>
  <cols>
    <col min="2" max="2" width="14.83203125" customWidth="1"/>
  </cols>
  <sheetData>
    <row r="2" spans="1:7" x14ac:dyDescent="0.2">
      <c r="A2" t="s">
        <v>0</v>
      </c>
    </row>
    <row r="4" spans="1:7" x14ac:dyDescent="0.2"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">
      <c r="B5" t="s">
        <v>1</v>
      </c>
      <c r="C5">
        <f>MIN(C8,G5)</f>
        <v>17</v>
      </c>
      <c r="D5">
        <f>MIN(G5-C5,D8)</f>
        <v>8</v>
      </c>
      <c r="E5">
        <f>MIN(G5-D5-C5,E8)</f>
        <v>0</v>
      </c>
      <c r="F5">
        <f>MIN(G5-C5-D5-E5,F8)</f>
        <v>0</v>
      </c>
      <c r="G5">
        <v>25</v>
      </c>
    </row>
    <row r="6" spans="1:7" x14ac:dyDescent="0.2">
      <c r="B6" t="s">
        <v>2</v>
      </c>
      <c r="C6">
        <f>MIN(C8-C5,G6)</f>
        <v>0</v>
      </c>
      <c r="D6">
        <f>MIN(G6-C6,D8-D5)</f>
        <v>30</v>
      </c>
      <c r="E6">
        <f>MIN(G6-D6-C6,E8-E5)</f>
        <v>0</v>
      </c>
      <c r="F6">
        <f>MIN(G6-C6-D6-E6,F8)</f>
        <v>0</v>
      </c>
      <c r="G6">
        <v>30</v>
      </c>
    </row>
    <row r="7" spans="1:7" x14ac:dyDescent="0.2">
      <c r="B7" t="s">
        <v>3</v>
      </c>
      <c r="C7">
        <f>MIN(C5-C8,G7)</f>
        <v>0</v>
      </c>
      <c r="D7">
        <f>MIN(G7-C7,D8-D5-D6)</f>
        <v>0</v>
      </c>
      <c r="E7">
        <f>MIN(G7-D7-C7,E8-E5-E6)</f>
        <v>20</v>
      </c>
      <c r="F7">
        <f>MIN(G7-C7-D7-E7,F8-F5-F6)</f>
        <v>30</v>
      </c>
      <c r="G7">
        <v>50</v>
      </c>
    </row>
    <row r="8" spans="1:7" x14ac:dyDescent="0.2">
      <c r="B8" t="s">
        <v>9</v>
      </c>
      <c r="C8">
        <v>17</v>
      </c>
      <c r="D8">
        <v>38</v>
      </c>
      <c r="E8">
        <v>20</v>
      </c>
      <c r="F8">
        <v>30</v>
      </c>
    </row>
    <row r="11" spans="1:7" x14ac:dyDescent="0.2">
      <c r="C11" t="s">
        <v>4</v>
      </c>
      <c r="D11" t="s">
        <v>5</v>
      </c>
      <c r="E11" t="s">
        <v>6</v>
      </c>
      <c r="F11" t="s">
        <v>7</v>
      </c>
      <c r="G11" t="s">
        <v>8</v>
      </c>
    </row>
    <row r="12" spans="1:7" x14ac:dyDescent="0.2">
      <c r="B12" t="s">
        <v>1</v>
      </c>
      <c r="C12">
        <f t="shared" ref="C12:F14" si="0">IF(C5=0,"",C5)</f>
        <v>17</v>
      </c>
      <c r="D12">
        <f t="shared" si="0"/>
        <v>8</v>
      </c>
      <c r="E12" t="str">
        <f t="shared" si="0"/>
        <v/>
      </c>
      <c r="F12" t="str">
        <f t="shared" si="0"/>
        <v/>
      </c>
      <c r="G12">
        <f>G5</f>
        <v>25</v>
      </c>
    </row>
    <row r="13" spans="1:7" x14ac:dyDescent="0.2">
      <c r="B13" t="s">
        <v>2</v>
      </c>
      <c r="C13" t="str">
        <f t="shared" si="0"/>
        <v/>
      </c>
      <c r="D13">
        <f t="shared" si="0"/>
        <v>30</v>
      </c>
      <c r="E13" t="str">
        <f t="shared" si="0"/>
        <v/>
      </c>
      <c r="F13" t="str">
        <f t="shared" si="0"/>
        <v/>
      </c>
      <c r="G13">
        <f>G6</f>
        <v>30</v>
      </c>
    </row>
    <row r="14" spans="1:7" x14ac:dyDescent="0.2">
      <c r="B14" t="s">
        <v>3</v>
      </c>
      <c r="C14" t="str">
        <f t="shared" si="0"/>
        <v/>
      </c>
      <c r="D14" t="str">
        <f t="shared" si="0"/>
        <v/>
      </c>
      <c r="E14">
        <f t="shared" si="0"/>
        <v>20</v>
      </c>
      <c r="F14">
        <f t="shared" si="0"/>
        <v>30</v>
      </c>
      <c r="G14">
        <f>G7</f>
        <v>50</v>
      </c>
    </row>
    <row r="15" spans="1:7" x14ac:dyDescent="0.2">
      <c r="B15" t="s">
        <v>9</v>
      </c>
      <c r="C15">
        <f>C8</f>
        <v>17</v>
      </c>
      <c r="D15">
        <f>D8</f>
        <v>38</v>
      </c>
      <c r="E15">
        <f>E8</f>
        <v>20</v>
      </c>
      <c r="F15">
        <f>F8</f>
        <v>30</v>
      </c>
    </row>
    <row r="18" spans="1:7" x14ac:dyDescent="0.2">
      <c r="A18" t="s">
        <v>10</v>
      </c>
    </row>
    <row r="20" spans="1:7" x14ac:dyDescent="0.2">
      <c r="C20" t="s">
        <v>4</v>
      </c>
      <c r="D20" t="s">
        <v>5</v>
      </c>
      <c r="E20" t="s">
        <v>6</v>
      </c>
      <c r="F20" t="s">
        <v>7</v>
      </c>
      <c r="G20" t="s">
        <v>8</v>
      </c>
    </row>
    <row r="21" spans="1:7" x14ac:dyDescent="0.2">
      <c r="B21" t="s">
        <v>1</v>
      </c>
      <c r="C21">
        <f>MIN(C24,G21)</f>
        <v>17</v>
      </c>
      <c r="D21">
        <f>MIN(G21-C21,D24)</f>
        <v>8</v>
      </c>
      <c r="E21">
        <f>MIN(G21-D21-C21,E24)</f>
        <v>0</v>
      </c>
      <c r="F21">
        <f>MIN(G21-C21-D21-E21,F24)</f>
        <v>0</v>
      </c>
      <c r="G21">
        <v>25</v>
      </c>
    </row>
    <row r="22" spans="1:7" x14ac:dyDescent="0.2">
      <c r="B22" t="s">
        <v>2</v>
      </c>
      <c r="C22">
        <f>MIN(C24-C21,G22)</f>
        <v>0</v>
      </c>
      <c r="D22">
        <f>MIN(G22-C22,D24-D21)</f>
        <v>30</v>
      </c>
      <c r="E22">
        <f>MIN(G22-D22-C22,E24-E21)</f>
        <v>0</v>
      </c>
      <c r="F22">
        <f>MIN(G22-C22-D22-E22,F24)</f>
        <v>0</v>
      </c>
      <c r="G22">
        <v>30</v>
      </c>
    </row>
    <row r="23" spans="1:7" x14ac:dyDescent="0.2">
      <c r="B23" t="s">
        <v>3</v>
      </c>
      <c r="C23">
        <f>MIN(C21-C24,G23)</f>
        <v>0</v>
      </c>
      <c r="D23">
        <f>MIN(G23-C23,D24-D21-D22)</f>
        <v>0</v>
      </c>
      <c r="E23">
        <f>MIN(G23-D23-C23,E24-E21-E22)</f>
        <v>20</v>
      </c>
      <c r="F23">
        <f>MIN(G23-C23-D23-E23,F24-F21-F22)</f>
        <v>30</v>
      </c>
      <c r="G23">
        <v>50</v>
      </c>
    </row>
    <row r="24" spans="1:7" x14ac:dyDescent="0.2">
      <c r="B24" t="s">
        <v>9</v>
      </c>
      <c r="C24">
        <v>17</v>
      </c>
      <c r="D24">
        <v>38</v>
      </c>
      <c r="E24">
        <v>20</v>
      </c>
      <c r="F24">
        <v>30</v>
      </c>
    </row>
    <row r="27" spans="1:7" x14ac:dyDescent="0.2">
      <c r="C27" t="s">
        <v>4</v>
      </c>
      <c r="D27" t="s">
        <v>5</v>
      </c>
      <c r="E27" t="s">
        <v>6</v>
      </c>
      <c r="F27" t="s">
        <v>7</v>
      </c>
      <c r="G27" t="s">
        <v>8</v>
      </c>
    </row>
    <row r="28" spans="1:7" x14ac:dyDescent="0.2">
      <c r="B28" t="s">
        <v>1</v>
      </c>
      <c r="C28">
        <f>IF(C21=0,"",C21)</f>
        <v>17</v>
      </c>
      <c r="D28">
        <f>IF(D21=0,"",D21)</f>
        <v>8</v>
      </c>
      <c r="E28" t="str">
        <f>IF(E21=0,"",E21)</f>
        <v/>
      </c>
      <c r="F28" t="str">
        <f>IF(F21=0,"",F21)</f>
        <v/>
      </c>
      <c r="G28">
        <f>G21</f>
        <v>25</v>
      </c>
    </row>
    <row r="29" spans="1:7" x14ac:dyDescent="0.2">
      <c r="B29" t="s">
        <v>2</v>
      </c>
      <c r="C29" t="str">
        <f>IF(C22=0,"",C22)</f>
        <v/>
      </c>
      <c r="D29">
        <f>IF(D22=0,"",D22)</f>
        <v>30</v>
      </c>
      <c r="E29">
        <v>0</v>
      </c>
      <c r="F29" t="str">
        <f>IF(F22=0,"",F22)</f>
        <v/>
      </c>
      <c r="G29">
        <f>G22</f>
        <v>30</v>
      </c>
    </row>
    <row r="30" spans="1:7" x14ac:dyDescent="0.2">
      <c r="B30" t="s">
        <v>3</v>
      </c>
      <c r="C30" t="str">
        <f>IF(C23=0,"",C23)</f>
        <v/>
      </c>
      <c r="D30" t="str">
        <f>IF(D23=0,"",D23)</f>
        <v/>
      </c>
      <c r="E30">
        <f>IF(E23=0,"",E23)</f>
        <v>20</v>
      </c>
      <c r="F30">
        <f>IF(F23=0,"",F23)</f>
        <v>30</v>
      </c>
      <c r="G30">
        <f>G23</f>
        <v>50</v>
      </c>
    </row>
    <row r="31" spans="1:7" x14ac:dyDescent="0.2">
      <c r="B31" t="s">
        <v>9</v>
      </c>
      <c r="C31">
        <f>C24</f>
        <v>17</v>
      </c>
      <c r="D31">
        <f>D24</f>
        <v>38</v>
      </c>
      <c r="E31">
        <f>E24</f>
        <v>20</v>
      </c>
      <c r="F31">
        <f>F24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A32B-A70C-455E-B20F-E591F5AB10BC}">
  <dimension ref="A1:R80"/>
  <sheetViews>
    <sheetView topLeftCell="C1" zoomScale="56" zoomScaleNormal="100" workbookViewId="0">
      <selection sqref="A1:R79"/>
    </sheetView>
  </sheetViews>
  <sheetFormatPr baseColWidth="10" defaultColWidth="8.83203125" defaultRowHeight="15" x14ac:dyDescent="0.2"/>
  <cols>
    <col min="9" max="9" width="11.83203125" bestFit="1" customWidth="1"/>
  </cols>
  <sheetData>
    <row r="1" spans="1:18" x14ac:dyDescent="0.2">
      <c r="A1" t="s">
        <v>18</v>
      </c>
    </row>
    <row r="5" spans="1:18" x14ac:dyDescent="0.2">
      <c r="A5" t="s">
        <v>15</v>
      </c>
    </row>
    <row r="6" spans="1:18" x14ac:dyDescent="0.2">
      <c r="B6" t="s">
        <v>4</v>
      </c>
      <c r="C6" t="s">
        <v>5</v>
      </c>
      <c r="D6" t="s">
        <v>6</v>
      </c>
      <c r="E6" t="s">
        <v>7</v>
      </c>
    </row>
    <row r="7" spans="1:18" x14ac:dyDescent="0.2">
      <c r="A7" t="s">
        <v>1</v>
      </c>
      <c r="B7">
        <v>5</v>
      </c>
      <c r="C7">
        <v>4</v>
      </c>
      <c r="D7">
        <v>3</v>
      </c>
      <c r="E7">
        <v>2</v>
      </c>
      <c r="F7">
        <v>25</v>
      </c>
    </row>
    <row r="8" spans="1:18" x14ac:dyDescent="0.2">
      <c r="A8" t="s">
        <v>2</v>
      </c>
      <c r="B8">
        <v>3</v>
      </c>
      <c r="C8">
        <v>4</v>
      </c>
      <c r="D8">
        <v>5</v>
      </c>
      <c r="E8">
        <v>5</v>
      </c>
      <c r="F8">
        <v>15</v>
      </c>
    </row>
    <row r="9" spans="1:18" x14ac:dyDescent="0.2">
      <c r="A9" t="s">
        <v>14</v>
      </c>
      <c r="B9">
        <v>4</v>
      </c>
      <c r="C9">
        <v>3</v>
      </c>
      <c r="D9">
        <v>2</v>
      </c>
      <c r="E9">
        <v>6</v>
      </c>
      <c r="F9">
        <v>18</v>
      </c>
    </row>
    <row r="10" spans="1:18" x14ac:dyDescent="0.2">
      <c r="B10">
        <v>9</v>
      </c>
      <c r="C10">
        <v>9</v>
      </c>
      <c r="D10">
        <v>20</v>
      </c>
      <c r="E10">
        <v>20</v>
      </c>
    </row>
    <row r="12" spans="1:18" x14ac:dyDescent="0.2">
      <c r="A12" t="s">
        <v>10</v>
      </c>
      <c r="H12" t="s">
        <v>11</v>
      </c>
      <c r="O12" t="s">
        <v>21</v>
      </c>
      <c r="P12" t="s">
        <v>22</v>
      </c>
      <c r="Q12">
        <v>9</v>
      </c>
    </row>
    <row r="13" spans="1:18" x14ac:dyDescent="0.2">
      <c r="A13" t="s">
        <v>16</v>
      </c>
      <c r="H13" t="s">
        <v>12</v>
      </c>
      <c r="O13" t="s">
        <v>24</v>
      </c>
    </row>
    <row r="14" spans="1:18" x14ac:dyDescent="0.2">
      <c r="B14" t="s">
        <v>4</v>
      </c>
      <c r="C14" t="s">
        <v>5</v>
      </c>
      <c r="D14" t="s">
        <v>6</v>
      </c>
      <c r="E14" t="s">
        <v>7</v>
      </c>
      <c r="F14" t="s">
        <v>8</v>
      </c>
      <c r="H14" t="s">
        <v>13</v>
      </c>
      <c r="I14">
        <v>2</v>
      </c>
      <c r="J14">
        <v>1</v>
      </c>
      <c r="K14">
        <v>0</v>
      </c>
      <c r="L14">
        <v>0</v>
      </c>
      <c r="O14" t="s">
        <v>4</v>
      </c>
      <c r="P14" t="s">
        <v>5</v>
      </c>
      <c r="Q14" t="s">
        <v>6</v>
      </c>
      <c r="R14" t="s">
        <v>7</v>
      </c>
    </row>
    <row r="15" spans="1:18" x14ac:dyDescent="0.2">
      <c r="A15" t="s">
        <v>1</v>
      </c>
      <c r="B15" s="1">
        <f>MIN(B18,F15)</f>
        <v>9</v>
      </c>
      <c r="C15" s="1">
        <f>MIN(F15-B15,C18)</f>
        <v>9</v>
      </c>
      <c r="D15" s="1">
        <f>MIN(F15-C15-B15,D18)</f>
        <v>7</v>
      </c>
      <c r="E15">
        <f>MIN(F15-B15-C15-D15,E18)</f>
        <v>0</v>
      </c>
      <c r="F15">
        <f>F7</f>
        <v>25</v>
      </c>
      <c r="H15">
        <v>3</v>
      </c>
      <c r="I15">
        <f t="shared" ref="I15:L17" si="0">B7-$H15-I$14</f>
        <v>0</v>
      </c>
      <c r="J15">
        <f t="shared" si="0"/>
        <v>0</v>
      </c>
      <c r="K15">
        <f t="shared" si="0"/>
        <v>0</v>
      </c>
      <c r="L15">
        <f t="shared" si="0"/>
        <v>-1</v>
      </c>
      <c r="N15" t="s">
        <v>1</v>
      </c>
      <c r="O15" t="s">
        <v>23</v>
      </c>
      <c r="Q15" t="s">
        <v>25</v>
      </c>
    </row>
    <row r="16" spans="1:18" x14ac:dyDescent="0.2">
      <c r="A16" t="s">
        <v>2</v>
      </c>
      <c r="B16">
        <f>MIN(B18-B15,F16)</f>
        <v>0</v>
      </c>
      <c r="C16">
        <f>MIN(F16-B16,C18-C15)</f>
        <v>0</v>
      </c>
      <c r="D16" s="1">
        <f>MIN(F16-C16-B16,D18-D15)</f>
        <v>13</v>
      </c>
      <c r="E16" s="1">
        <f>MIN(F16-B16-C16-D16,E18)</f>
        <v>2</v>
      </c>
      <c r="F16">
        <f>F8</f>
        <v>15</v>
      </c>
      <c r="H16">
        <v>5</v>
      </c>
      <c r="I16">
        <f t="shared" si="0"/>
        <v>-4</v>
      </c>
      <c r="J16">
        <f t="shared" si="0"/>
        <v>-2</v>
      </c>
      <c r="K16">
        <f t="shared" si="0"/>
        <v>0</v>
      </c>
      <c r="L16">
        <f t="shared" si="0"/>
        <v>0</v>
      </c>
      <c r="N16" t="s">
        <v>2</v>
      </c>
      <c r="O16" t="s">
        <v>25</v>
      </c>
      <c r="Q16" t="s">
        <v>23</v>
      </c>
    </row>
    <row r="17" spans="1:18" x14ac:dyDescent="0.2">
      <c r="A17" t="s">
        <v>3</v>
      </c>
      <c r="B17">
        <f>MIN(B15-B18,F17)</f>
        <v>0</v>
      </c>
      <c r="C17">
        <f>MIN(F17-B17,C18-C15-C16)</f>
        <v>0</v>
      </c>
      <c r="D17">
        <f>MIN(F17-C17-B17,D18-D15-D16)</f>
        <v>0</v>
      </c>
      <c r="E17" s="1">
        <f>MIN(F17-B17-C17-D17,E18-E15-E16)</f>
        <v>18</v>
      </c>
      <c r="F17">
        <f>F9</f>
        <v>18</v>
      </c>
      <c r="H17">
        <v>6</v>
      </c>
      <c r="I17">
        <f t="shared" si="0"/>
        <v>-4</v>
      </c>
      <c r="J17">
        <f t="shared" si="0"/>
        <v>-4</v>
      </c>
      <c r="K17">
        <f t="shared" si="0"/>
        <v>-4</v>
      </c>
      <c r="L17">
        <f t="shared" si="0"/>
        <v>0</v>
      </c>
      <c r="N17" t="s">
        <v>3</v>
      </c>
    </row>
    <row r="18" spans="1:18" x14ac:dyDescent="0.2">
      <c r="A18" t="s">
        <v>9</v>
      </c>
      <c r="B18">
        <f>B10</f>
        <v>9</v>
      </c>
      <c r="C18">
        <f>C10</f>
        <v>9</v>
      </c>
      <c r="D18">
        <f>D10</f>
        <v>20</v>
      </c>
      <c r="E18">
        <f>E10</f>
        <v>20</v>
      </c>
    </row>
    <row r="19" spans="1:18" x14ac:dyDescent="0.2">
      <c r="H19" t="s">
        <v>20</v>
      </c>
    </row>
    <row r="20" spans="1:18" x14ac:dyDescent="0.2">
      <c r="A20" t="s">
        <v>17</v>
      </c>
      <c r="C20">
        <f>SUMPRODUCT(B15:E17,$B$7:$E$9)</f>
        <v>285</v>
      </c>
    </row>
    <row r="26" spans="1:18" x14ac:dyDescent="0.2">
      <c r="A26" t="s">
        <v>19</v>
      </c>
    </row>
    <row r="27" spans="1:18" x14ac:dyDescent="0.2">
      <c r="H27" t="s">
        <v>11</v>
      </c>
      <c r="O27" t="s">
        <v>21</v>
      </c>
      <c r="P27" t="s">
        <v>22</v>
      </c>
    </row>
    <row r="28" spans="1:18" x14ac:dyDescent="0.2">
      <c r="A28" t="s">
        <v>16</v>
      </c>
      <c r="H28" t="s">
        <v>12</v>
      </c>
      <c r="O28" t="s">
        <v>24</v>
      </c>
    </row>
    <row r="29" spans="1:18" x14ac:dyDescent="0.2">
      <c r="B29" t="s">
        <v>4</v>
      </c>
      <c r="C29" t="s">
        <v>5</v>
      </c>
      <c r="D29" t="s">
        <v>6</v>
      </c>
      <c r="E29" t="s">
        <v>7</v>
      </c>
      <c r="F29" t="s">
        <v>8</v>
      </c>
      <c r="H29" t="s">
        <v>13</v>
      </c>
      <c r="I29">
        <v>-2</v>
      </c>
      <c r="J29">
        <v>1</v>
      </c>
      <c r="K29">
        <v>0</v>
      </c>
      <c r="L29">
        <v>0</v>
      </c>
      <c r="O29" t="s">
        <v>4</v>
      </c>
      <c r="P29" t="s">
        <v>5</v>
      </c>
      <c r="Q29" t="s">
        <v>6</v>
      </c>
      <c r="R29" t="s">
        <v>7</v>
      </c>
    </row>
    <row r="30" spans="1:18" x14ac:dyDescent="0.2">
      <c r="A30" t="s">
        <v>1</v>
      </c>
      <c r="B30" s="1">
        <f>IF(O15="x",B15-$Q$12,B15+IF(O15="f",$Q$12,0))</f>
        <v>0</v>
      </c>
      <c r="C30" s="1">
        <f t="shared" ref="C30:E32" si="1">IF(P15="x",C15-$Q$12,C15+IF(P15="f",$Q$12,0))</f>
        <v>9</v>
      </c>
      <c r="D30" s="1">
        <f t="shared" si="1"/>
        <v>16</v>
      </c>
      <c r="E30">
        <f t="shared" si="1"/>
        <v>0</v>
      </c>
      <c r="F30">
        <f>F7</f>
        <v>25</v>
      </c>
      <c r="H30">
        <v>3</v>
      </c>
      <c r="I30">
        <f>B7-$H30-I$29</f>
        <v>4</v>
      </c>
      <c r="J30">
        <f t="shared" ref="J30:L32" si="2">C7-$H30-J$29</f>
        <v>0</v>
      </c>
      <c r="K30">
        <f t="shared" si="2"/>
        <v>0</v>
      </c>
      <c r="L30">
        <f t="shared" si="2"/>
        <v>-1</v>
      </c>
      <c r="N30" t="s">
        <v>1</v>
      </c>
    </row>
    <row r="31" spans="1:18" x14ac:dyDescent="0.2">
      <c r="A31" t="s">
        <v>2</v>
      </c>
      <c r="B31">
        <f>IF(O16="x",B16-$Q$12,B16+IF(O16="f",$Q$12,0))</f>
        <v>9</v>
      </c>
      <c r="C31">
        <f t="shared" si="1"/>
        <v>0</v>
      </c>
      <c r="D31" s="1">
        <f t="shared" si="1"/>
        <v>4</v>
      </c>
      <c r="E31" s="1">
        <f t="shared" si="1"/>
        <v>2</v>
      </c>
      <c r="F31">
        <f>F8</f>
        <v>15</v>
      </c>
      <c r="H31">
        <v>5</v>
      </c>
      <c r="I31">
        <f>B8-$H31-I$29</f>
        <v>0</v>
      </c>
      <c r="J31">
        <f t="shared" si="2"/>
        <v>-2</v>
      </c>
      <c r="K31">
        <f t="shared" si="2"/>
        <v>0</v>
      </c>
      <c r="L31">
        <f t="shared" si="2"/>
        <v>0</v>
      </c>
      <c r="N31" t="s">
        <v>2</v>
      </c>
    </row>
    <row r="32" spans="1:18" x14ac:dyDescent="0.2">
      <c r="A32" t="s">
        <v>3</v>
      </c>
      <c r="B32">
        <f>IF(O17="x",B17-$Q$12,B17+IF(O17="f",$Q$12,0))</f>
        <v>0</v>
      </c>
      <c r="C32">
        <f t="shared" si="1"/>
        <v>0</v>
      </c>
      <c r="D32">
        <f t="shared" si="1"/>
        <v>0</v>
      </c>
      <c r="E32" s="1">
        <f t="shared" si="1"/>
        <v>18</v>
      </c>
      <c r="F32">
        <f>F9</f>
        <v>18</v>
      </c>
      <c r="H32">
        <v>6</v>
      </c>
      <c r="I32">
        <f>B9-$H32-I$29</f>
        <v>0</v>
      </c>
      <c r="J32">
        <f t="shared" si="2"/>
        <v>-4</v>
      </c>
      <c r="K32">
        <f t="shared" si="2"/>
        <v>-4</v>
      </c>
      <c r="L32">
        <f t="shared" si="2"/>
        <v>0</v>
      </c>
      <c r="N32" t="s">
        <v>3</v>
      </c>
    </row>
    <row r="33" spans="1:18" x14ac:dyDescent="0.2">
      <c r="A33" t="s">
        <v>9</v>
      </c>
      <c r="B33">
        <f>B10</f>
        <v>9</v>
      </c>
      <c r="C33">
        <f>C10</f>
        <v>9</v>
      </c>
      <c r="D33">
        <f>D10</f>
        <v>20</v>
      </c>
      <c r="E33">
        <f>E10</f>
        <v>20</v>
      </c>
    </row>
    <row r="34" spans="1:18" x14ac:dyDescent="0.2">
      <c r="H34" t="s">
        <v>20</v>
      </c>
    </row>
    <row r="35" spans="1:18" x14ac:dyDescent="0.2">
      <c r="A35" t="s">
        <v>17</v>
      </c>
      <c r="C35">
        <f>SUMPRODUCT(B30:E32,$B$7:$E$9)</f>
        <v>249</v>
      </c>
    </row>
    <row r="41" spans="1:18" x14ac:dyDescent="0.2">
      <c r="A41" t="s">
        <v>26</v>
      </c>
    </row>
    <row r="42" spans="1:18" x14ac:dyDescent="0.2">
      <c r="H42" t="s">
        <v>11</v>
      </c>
      <c r="O42" t="s">
        <v>21</v>
      </c>
      <c r="P42" t="s">
        <v>22</v>
      </c>
    </row>
    <row r="43" spans="1:18" x14ac:dyDescent="0.2">
      <c r="A43" t="s">
        <v>16</v>
      </c>
      <c r="H43" t="s">
        <v>12</v>
      </c>
      <c r="O43" t="s">
        <v>24</v>
      </c>
    </row>
    <row r="44" spans="1:18" x14ac:dyDescent="0.2">
      <c r="B44" t="s">
        <v>4</v>
      </c>
      <c r="C44" t="s">
        <v>5</v>
      </c>
      <c r="D44" t="s">
        <v>6</v>
      </c>
      <c r="E44" t="s">
        <v>7</v>
      </c>
      <c r="F44" t="s">
        <v>8</v>
      </c>
      <c r="H44" t="s">
        <v>13</v>
      </c>
      <c r="I44">
        <v>-2</v>
      </c>
      <c r="J44">
        <v>-3</v>
      </c>
      <c r="K44">
        <v>-4</v>
      </c>
      <c r="L44">
        <v>0</v>
      </c>
      <c r="O44" t="s">
        <v>4</v>
      </c>
      <c r="P44" t="s">
        <v>5</v>
      </c>
      <c r="Q44" t="s">
        <v>6</v>
      </c>
      <c r="R44" t="s">
        <v>7</v>
      </c>
    </row>
    <row r="45" spans="1:18" x14ac:dyDescent="0.2">
      <c r="A45" t="s">
        <v>1</v>
      </c>
      <c r="B45">
        <f>IF(O30="x",B30-$Q$27,B30+IF(O30="f",$Q$27,0))</f>
        <v>0</v>
      </c>
      <c r="C45">
        <f t="shared" ref="C45:E47" si="3">IF(P30="x",C30-$Q$27,C30+IF(P30="f",$Q$27,0))</f>
        <v>9</v>
      </c>
      <c r="D45">
        <f t="shared" si="3"/>
        <v>16</v>
      </c>
      <c r="E45">
        <f t="shared" si="3"/>
        <v>0</v>
      </c>
      <c r="F45">
        <f>F7</f>
        <v>25</v>
      </c>
      <c r="H45">
        <v>7</v>
      </c>
      <c r="I45">
        <f>B7-$H45-I$44</f>
        <v>0</v>
      </c>
      <c r="J45">
        <f t="shared" ref="J45:L47" si="4">C7-$H45-J$44</f>
        <v>0</v>
      </c>
      <c r="K45">
        <f t="shared" si="4"/>
        <v>0</v>
      </c>
      <c r="L45">
        <f t="shared" si="4"/>
        <v>-5</v>
      </c>
      <c r="N45" t="s">
        <v>1</v>
      </c>
    </row>
    <row r="46" spans="1:18" x14ac:dyDescent="0.2">
      <c r="A46" t="s">
        <v>2</v>
      </c>
      <c r="B46">
        <f>IF(O31="x",B31-$Q$27,B31+IF(O31="f",$Q$27,0))</f>
        <v>9</v>
      </c>
      <c r="C46">
        <f t="shared" si="3"/>
        <v>0</v>
      </c>
      <c r="D46">
        <f t="shared" si="3"/>
        <v>4</v>
      </c>
      <c r="E46">
        <f t="shared" si="3"/>
        <v>2</v>
      </c>
      <c r="F46">
        <f>F8</f>
        <v>15</v>
      </c>
      <c r="H46">
        <v>5</v>
      </c>
      <c r="I46">
        <f>B8-$H46-I$44</f>
        <v>0</v>
      </c>
      <c r="J46">
        <f t="shared" si="4"/>
        <v>2</v>
      </c>
      <c r="K46">
        <f t="shared" si="4"/>
        <v>4</v>
      </c>
      <c r="L46">
        <f t="shared" si="4"/>
        <v>0</v>
      </c>
      <c r="N46" t="s">
        <v>2</v>
      </c>
    </row>
    <row r="47" spans="1:18" x14ac:dyDescent="0.2">
      <c r="A47" t="s">
        <v>3</v>
      </c>
      <c r="B47">
        <f>IF(O32="x",B32-$Q$27,B32+IF(O32="f",$Q$27,0))</f>
        <v>0</v>
      </c>
      <c r="C47">
        <f t="shared" si="3"/>
        <v>0</v>
      </c>
      <c r="D47">
        <f t="shared" si="3"/>
        <v>0</v>
      </c>
      <c r="E47">
        <f t="shared" si="3"/>
        <v>18</v>
      </c>
      <c r="F47">
        <f>F9</f>
        <v>18</v>
      </c>
      <c r="H47">
        <v>6</v>
      </c>
      <c r="I47">
        <f>B9-$H47-I$44</f>
        <v>0</v>
      </c>
      <c r="J47">
        <f t="shared" si="4"/>
        <v>0</v>
      </c>
      <c r="K47">
        <f t="shared" si="4"/>
        <v>0</v>
      </c>
      <c r="L47">
        <f t="shared" si="4"/>
        <v>0</v>
      </c>
      <c r="N47" t="s">
        <v>3</v>
      </c>
    </row>
    <row r="48" spans="1:18" x14ac:dyDescent="0.2">
      <c r="A48" t="s">
        <v>9</v>
      </c>
      <c r="B48">
        <f>B10</f>
        <v>9</v>
      </c>
      <c r="C48">
        <f>C10</f>
        <v>9</v>
      </c>
      <c r="D48">
        <f>D10</f>
        <v>20</v>
      </c>
      <c r="E48">
        <f>E10</f>
        <v>20</v>
      </c>
    </row>
    <row r="49" spans="1:18" x14ac:dyDescent="0.2">
      <c r="H49" t="s">
        <v>20</v>
      </c>
    </row>
    <row r="50" spans="1:18" x14ac:dyDescent="0.2">
      <c r="A50" t="s">
        <v>17</v>
      </c>
      <c r="C50">
        <f>SUMPRODUCT(B45:E47,$B$7:$E$9)</f>
        <v>249</v>
      </c>
    </row>
    <row r="56" spans="1:18" x14ac:dyDescent="0.2">
      <c r="A56" t="s">
        <v>27</v>
      </c>
    </row>
    <row r="57" spans="1:18" x14ac:dyDescent="0.2">
      <c r="H57" t="s">
        <v>11</v>
      </c>
      <c r="O57" t="s">
        <v>21</v>
      </c>
      <c r="P57" t="s">
        <v>22</v>
      </c>
    </row>
    <row r="58" spans="1:18" x14ac:dyDescent="0.2">
      <c r="A58" t="s">
        <v>16</v>
      </c>
      <c r="H58" t="s">
        <v>12</v>
      </c>
      <c r="O58" t="s">
        <v>24</v>
      </c>
    </row>
    <row r="59" spans="1:18" x14ac:dyDescent="0.2">
      <c r="B59" t="s">
        <v>4</v>
      </c>
      <c r="C59" t="s">
        <v>5</v>
      </c>
      <c r="D59" t="s">
        <v>6</v>
      </c>
      <c r="E59" t="s">
        <v>7</v>
      </c>
      <c r="F59" t="s">
        <v>8</v>
      </c>
      <c r="H59" t="s">
        <v>13</v>
      </c>
      <c r="I59">
        <v>-2</v>
      </c>
      <c r="J59">
        <v>2</v>
      </c>
      <c r="K59">
        <v>1</v>
      </c>
      <c r="L59">
        <v>0</v>
      </c>
      <c r="O59" t="s">
        <v>4</v>
      </c>
      <c r="P59" t="s">
        <v>5</v>
      </c>
      <c r="Q59" t="s">
        <v>6</v>
      </c>
      <c r="R59" t="s">
        <v>7</v>
      </c>
    </row>
    <row r="60" spans="1:18" x14ac:dyDescent="0.2">
      <c r="A60" t="s">
        <v>1</v>
      </c>
      <c r="B60">
        <f>IF(O45="x",B45-$Q$42,B45+IF(O45="f",$Q$42,0))</f>
        <v>0</v>
      </c>
      <c r="C60">
        <f t="shared" ref="C60:E62" si="5">IF(P45="x",C45-$Q$42,C45+IF(P45="f",$Q$42,0))</f>
        <v>9</v>
      </c>
      <c r="D60">
        <f t="shared" si="5"/>
        <v>16</v>
      </c>
      <c r="E60">
        <f t="shared" si="5"/>
        <v>0</v>
      </c>
      <c r="F60">
        <f>F7</f>
        <v>25</v>
      </c>
      <c r="H60">
        <v>2</v>
      </c>
      <c r="I60">
        <f>B7-$H60-I$59</f>
        <v>5</v>
      </c>
      <c r="J60">
        <f t="shared" ref="J60:L62" si="6">C7-$H60-J$59</f>
        <v>0</v>
      </c>
      <c r="K60">
        <f t="shared" si="6"/>
        <v>0</v>
      </c>
      <c r="L60">
        <f>E7-$H60-L$59</f>
        <v>0</v>
      </c>
      <c r="N60" t="s">
        <v>1</v>
      </c>
    </row>
    <row r="61" spans="1:18" x14ac:dyDescent="0.2">
      <c r="A61" t="s">
        <v>2</v>
      </c>
      <c r="B61">
        <f>IF(O46="x",B46-$Q$42,B46+IF(O46="f",$Q$42,0))</f>
        <v>9</v>
      </c>
      <c r="C61">
        <f t="shared" si="5"/>
        <v>0</v>
      </c>
      <c r="D61">
        <f t="shared" si="5"/>
        <v>4</v>
      </c>
      <c r="E61">
        <f t="shared" si="5"/>
        <v>2</v>
      </c>
      <c r="F61">
        <f>F8</f>
        <v>15</v>
      </c>
      <c r="H61">
        <v>5</v>
      </c>
      <c r="I61">
        <f>B8-$H61-I$59</f>
        <v>0</v>
      </c>
      <c r="J61">
        <f t="shared" si="6"/>
        <v>-3</v>
      </c>
      <c r="K61">
        <f t="shared" si="6"/>
        <v>-1</v>
      </c>
      <c r="L61">
        <f t="shared" si="6"/>
        <v>0</v>
      </c>
      <c r="N61" t="s">
        <v>2</v>
      </c>
    </row>
    <row r="62" spans="1:18" x14ac:dyDescent="0.2">
      <c r="A62" t="s">
        <v>3</v>
      </c>
      <c r="B62">
        <f>IF(O47="x",B47-$Q$42,B47+IF(O47="f",$Q$42,0))</f>
        <v>0</v>
      </c>
      <c r="C62">
        <f t="shared" si="5"/>
        <v>0</v>
      </c>
      <c r="D62">
        <f t="shared" si="5"/>
        <v>0</v>
      </c>
      <c r="E62">
        <f t="shared" si="5"/>
        <v>18</v>
      </c>
      <c r="F62">
        <f>F9</f>
        <v>18</v>
      </c>
      <c r="H62">
        <v>1</v>
      </c>
      <c r="I62">
        <f>B9-$H62-I$59</f>
        <v>5</v>
      </c>
      <c r="J62">
        <f t="shared" si="6"/>
        <v>0</v>
      </c>
      <c r="K62">
        <f t="shared" si="6"/>
        <v>0</v>
      </c>
      <c r="L62">
        <f t="shared" si="6"/>
        <v>5</v>
      </c>
      <c r="N62" t="s">
        <v>3</v>
      </c>
    </row>
    <row r="63" spans="1:18" x14ac:dyDescent="0.2">
      <c r="A63" t="s">
        <v>9</v>
      </c>
      <c r="B63">
        <f>B10</f>
        <v>9</v>
      </c>
      <c r="C63">
        <f>C10</f>
        <v>9</v>
      </c>
      <c r="D63">
        <f>D10</f>
        <v>20</v>
      </c>
      <c r="E63">
        <f>E10</f>
        <v>20</v>
      </c>
    </row>
    <row r="64" spans="1:18" x14ac:dyDescent="0.2">
      <c r="H64" t="s">
        <v>20</v>
      </c>
    </row>
    <row r="65" spans="1:18" x14ac:dyDescent="0.2">
      <c r="A65" t="s">
        <v>17</v>
      </c>
      <c r="C65">
        <f>SUMPRODUCT(B60:E62,$B$7:$E$9)</f>
        <v>249</v>
      </c>
    </row>
    <row r="71" spans="1:18" x14ac:dyDescent="0.2">
      <c r="A71" t="s">
        <v>28</v>
      </c>
    </row>
    <row r="72" spans="1:18" x14ac:dyDescent="0.2">
      <c r="H72" t="s">
        <v>11</v>
      </c>
      <c r="O72" t="s">
        <v>21</v>
      </c>
      <c r="P72" t="s">
        <v>22</v>
      </c>
    </row>
    <row r="73" spans="1:18" x14ac:dyDescent="0.2">
      <c r="A73" t="s">
        <v>16</v>
      </c>
      <c r="H73" t="s">
        <v>12</v>
      </c>
      <c r="O73" t="s">
        <v>24</v>
      </c>
    </row>
    <row r="74" spans="1:18" x14ac:dyDescent="0.2">
      <c r="B74" t="s">
        <v>4</v>
      </c>
      <c r="C74" t="s">
        <v>5</v>
      </c>
      <c r="D74" t="s">
        <v>6</v>
      </c>
      <c r="E74" t="s">
        <v>7</v>
      </c>
      <c r="F74" t="s">
        <v>8</v>
      </c>
      <c r="H74" t="s">
        <v>13</v>
      </c>
      <c r="I74">
        <v>1</v>
      </c>
      <c r="J74">
        <v>2</v>
      </c>
      <c r="K74">
        <v>1</v>
      </c>
      <c r="L74">
        <v>0</v>
      </c>
      <c r="O74" t="s">
        <v>4</v>
      </c>
      <c r="P74" t="s">
        <v>5</v>
      </c>
      <c r="Q74" t="s">
        <v>6</v>
      </c>
      <c r="R74" t="s">
        <v>7</v>
      </c>
    </row>
    <row r="75" spans="1:18" x14ac:dyDescent="0.2">
      <c r="A75" t="s">
        <v>1</v>
      </c>
      <c r="B75">
        <f>IF(O60="x",B60-$Q$57,B60+IF(O60="f",$Q$57,0))</f>
        <v>0</v>
      </c>
      <c r="C75">
        <f t="shared" ref="C75:E77" si="7">IF(P60="x",C60-$Q$57,C60+IF(P60="f",$Q$57,0))</f>
        <v>9</v>
      </c>
      <c r="D75">
        <f t="shared" si="7"/>
        <v>16</v>
      </c>
      <c r="E75">
        <f t="shared" si="7"/>
        <v>0</v>
      </c>
      <c r="F75">
        <f>F7</f>
        <v>25</v>
      </c>
      <c r="H75">
        <v>2</v>
      </c>
      <c r="I75">
        <f>B7-$H75-I$74</f>
        <v>2</v>
      </c>
      <c r="J75">
        <f t="shared" ref="J75:L77" si="8">C7-$H75-J$74</f>
        <v>0</v>
      </c>
      <c r="K75">
        <f t="shared" si="8"/>
        <v>0</v>
      </c>
      <c r="L75">
        <f t="shared" si="8"/>
        <v>0</v>
      </c>
      <c r="N75" t="s">
        <v>1</v>
      </c>
    </row>
    <row r="76" spans="1:18" x14ac:dyDescent="0.2">
      <c r="A76" t="s">
        <v>2</v>
      </c>
      <c r="B76">
        <f>IF(O61="x",B61-$Q$57,B61+IF(O61="f",$Q$57,0))</f>
        <v>9</v>
      </c>
      <c r="C76">
        <f t="shared" si="7"/>
        <v>0</v>
      </c>
      <c r="D76">
        <f t="shared" si="7"/>
        <v>4</v>
      </c>
      <c r="E76">
        <f t="shared" si="7"/>
        <v>2</v>
      </c>
      <c r="F76">
        <f>F8</f>
        <v>15</v>
      </c>
      <c r="H76">
        <v>2</v>
      </c>
      <c r="I76">
        <f>B8-$H76-I$74</f>
        <v>0</v>
      </c>
      <c r="J76">
        <f t="shared" si="8"/>
        <v>0</v>
      </c>
      <c r="K76">
        <f t="shared" si="8"/>
        <v>2</v>
      </c>
      <c r="L76">
        <f t="shared" si="8"/>
        <v>3</v>
      </c>
      <c r="N76" t="s">
        <v>2</v>
      </c>
    </row>
    <row r="77" spans="1:18" x14ac:dyDescent="0.2">
      <c r="A77" t="s">
        <v>3</v>
      </c>
      <c r="B77">
        <f>IF(O62="x",B62-$Q$57,B62+IF(O62="f",$Q$57,0))</f>
        <v>0</v>
      </c>
      <c r="C77">
        <f t="shared" si="7"/>
        <v>0</v>
      </c>
      <c r="D77">
        <f t="shared" si="7"/>
        <v>0</v>
      </c>
      <c r="E77">
        <f t="shared" si="7"/>
        <v>18</v>
      </c>
      <c r="F77">
        <f>F9</f>
        <v>18</v>
      </c>
      <c r="H77">
        <v>1</v>
      </c>
      <c r="I77">
        <f>B9-$H77-I$74</f>
        <v>2</v>
      </c>
      <c r="J77">
        <f t="shared" si="8"/>
        <v>0</v>
      </c>
      <c r="K77">
        <f t="shared" si="8"/>
        <v>0</v>
      </c>
      <c r="L77">
        <f t="shared" si="8"/>
        <v>5</v>
      </c>
      <c r="N77" t="s">
        <v>3</v>
      </c>
    </row>
    <row r="78" spans="1:18" x14ac:dyDescent="0.2">
      <c r="A78" t="s">
        <v>9</v>
      </c>
      <c r="B78">
        <f>B10</f>
        <v>9</v>
      </c>
      <c r="C78">
        <f>C10</f>
        <v>9</v>
      </c>
      <c r="D78">
        <f>D10</f>
        <v>20</v>
      </c>
      <c r="E78">
        <f>E10</f>
        <v>20</v>
      </c>
    </row>
    <row r="80" spans="1:18" x14ac:dyDescent="0.2">
      <c r="A80" t="s">
        <v>17</v>
      </c>
      <c r="C80">
        <f>SUMPRODUCT(B75:E77,$B$7:$E$9)</f>
        <v>249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DB9D-EDD8-472E-B762-60396A1EF9A8}">
  <dimension ref="A1:R84"/>
  <sheetViews>
    <sheetView tabSelected="1" topLeftCell="A12" zoomScale="110" zoomScaleNormal="110" workbookViewId="0">
      <selection activeCell="F17" sqref="F17"/>
    </sheetView>
  </sheetViews>
  <sheetFormatPr baseColWidth="10" defaultColWidth="8.83203125" defaultRowHeight="15" x14ac:dyDescent="0.2"/>
  <sheetData>
    <row r="1" spans="1:18" x14ac:dyDescent="0.2">
      <c r="A1" t="s">
        <v>18</v>
      </c>
    </row>
    <row r="5" spans="1:18" x14ac:dyDescent="0.2">
      <c r="A5" t="s">
        <v>15</v>
      </c>
    </row>
    <row r="6" spans="1:18" x14ac:dyDescent="0.2">
      <c r="B6" t="s">
        <v>4</v>
      </c>
      <c r="C6" t="s">
        <v>5</v>
      </c>
      <c r="D6" t="s">
        <v>6</v>
      </c>
      <c r="E6" t="s">
        <v>7</v>
      </c>
    </row>
    <row r="7" spans="1:18" x14ac:dyDescent="0.2">
      <c r="A7" t="s">
        <v>1</v>
      </c>
      <c r="B7">
        <v>3</v>
      </c>
      <c r="C7">
        <v>3</v>
      </c>
      <c r="D7">
        <v>6</v>
      </c>
      <c r="E7">
        <v>4</v>
      </c>
      <c r="F7">
        <v>10</v>
      </c>
    </row>
    <row r="8" spans="1:18" x14ac:dyDescent="0.2">
      <c r="A8" t="s">
        <v>2</v>
      </c>
      <c r="B8">
        <v>7</v>
      </c>
      <c r="C8">
        <v>5</v>
      </c>
      <c r="D8">
        <v>9</v>
      </c>
      <c r="E8">
        <v>3</v>
      </c>
      <c r="F8">
        <v>10</v>
      </c>
    </row>
    <row r="9" spans="1:18" x14ac:dyDescent="0.2">
      <c r="A9" t="s">
        <v>14</v>
      </c>
      <c r="B9">
        <v>16</v>
      </c>
      <c r="C9">
        <v>4</v>
      </c>
      <c r="D9">
        <v>8</v>
      </c>
      <c r="E9">
        <v>9</v>
      </c>
      <c r="F9">
        <v>10</v>
      </c>
    </row>
    <row r="10" spans="1:18" x14ac:dyDescent="0.2">
      <c r="A10" t="s">
        <v>30</v>
      </c>
      <c r="B10">
        <v>8</v>
      </c>
      <c r="C10">
        <v>5</v>
      </c>
      <c r="D10">
        <v>2</v>
      </c>
      <c r="E10">
        <v>3</v>
      </c>
      <c r="F10">
        <v>20</v>
      </c>
    </row>
    <row r="11" spans="1:18" x14ac:dyDescent="0.2">
      <c r="B11">
        <v>12</v>
      </c>
      <c r="C11">
        <v>15</v>
      </c>
      <c r="D11">
        <v>13</v>
      </c>
      <c r="E11">
        <v>10</v>
      </c>
    </row>
    <row r="12" spans="1:18" x14ac:dyDescent="0.2">
      <c r="A12" t="s">
        <v>10</v>
      </c>
      <c r="H12" t="s">
        <v>11</v>
      </c>
      <c r="O12" t="s">
        <v>21</v>
      </c>
      <c r="P12" t="s">
        <v>22</v>
      </c>
      <c r="Q12">
        <v>3</v>
      </c>
    </row>
    <row r="13" spans="1:18" x14ac:dyDescent="0.2">
      <c r="A13" t="s">
        <v>16</v>
      </c>
      <c r="H13" t="s">
        <v>12</v>
      </c>
      <c r="O13" t="s">
        <v>24</v>
      </c>
    </row>
    <row r="14" spans="1:18" x14ac:dyDescent="0.2">
      <c r="B14" t="s">
        <v>4</v>
      </c>
      <c r="C14" t="s">
        <v>5</v>
      </c>
      <c r="D14" t="s">
        <v>6</v>
      </c>
      <c r="E14" t="s">
        <v>7</v>
      </c>
      <c r="F14" t="s">
        <v>8</v>
      </c>
      <c r="H14" t="s">
        <v>13</v>
      </c>
      <c r="I14">
        <v>-3</v>
      </c>
      <c r="J14">
        <v>-5</v>
      </c>
      <c r="K14">
        <v>-1</v>
      </c>
      <c r="L14">
        <v>0</v>
      </c>
      <c r="O14" t="s">
        <v>4</v>
      </c>
      <c r="P14" t="s">
        <v>5</v>
      </c>
      <c r="Q14" t="s">
        <v>6</v>
      </c>
      <c r="R14" t="s">
        <v>7</v>
      </c>
    </row>
    <row r="15" spans="1:18" x14ac:dyDescent="0.2">
      <c r="A15" t="s">
        <v>1</v>
      </c>
      <c r="B15" s="1">
        <f>MIN(B19,F15)</f>
        <v>10</v>
      </c>
      <c r="C15">
        <f>MIN(F15-B15,C19)</f>
        <v>0</v>
      </c>
      <c r="D15">
        <f>MIN(F15-C15-B15,D19)</f>
        <v>0</v>
      </c>
      <c r="E15">
        <f>MIN(F15-B15-C15-D15,E19)</f>
        <v>0</v>
      </c>
      <c r="F15">
        <f>F7</f>
        <v>10</v>
      </c>
      <c r="H15">
        <v>6</v>
      </c>
      <c r="I15">
        <f t="shared" ref="I15:L18" si="0">B7-$H15-I$14</f>
        <v>0</v>
      </c>
      <c r="J15">
        <f t="shared" si="0"/>
        <v>2</v>
      </c>
      <c r="K15">
        <f t="shared" si="0"/>
        <v>1</v>
      </c>
      <c r="L15">
        <f t="shared" si="0"/>
        <v>-2</v>
      </c>
      <c r="N15" t="s">
        <v>1</v>
      </c>
    </row>
    <row r="16" spans="1:18" x14ac:dyDescent="0.2">
      <c r="A16" t="s">
        <v>2</v>
      </c>
      <c r="B16" s="1">
        <f>MIN(B19-B15,F16)</f>
        <v>2</v>
      </c>
      <c r="C16" s="1">
        <f>MIN(F16-B16,C19-C15)</f>
        <v>8</v>
      </c>
      <c r="D16">
        <f>MIN(F16-C16-B16,D19-D15)</f>
        <v>0</v>
      </c>
      <c r="E16">
        <f>MIN(F16-B16-C16-D16,E19)</f>
        <v>0</v>
      </c>
      <c r="F16">
        <f>F8</f>
        <v>10</v>
      </c>
      <c r="H16">
        <v>10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-7</v>
      </c>
      <c r="N16" t="s">
        <v>2</v>
      </c>
      <c r="P16" t="s">
        <v>23</v>
      </c>
      <c r="R16" t="s">
        <v>25</v>
      </c>
    </row>
    <row r="17" spans="1:18" x14ac:dyDescent="0.2">
      <c r="A17" t="s">
        <v>3</v>
      </c>
      <c r="B17">
        <f>MIN((B15+B16)-B19,F17)</f>
        <v>0</v>
      </c>
      <c r="C17" s="1">
        <f>MIN(F17-B17,C19-C15-C16)</f>
        <v>7</v>
      </c>
      <c r="D17" s="1">
        <f>MIN(F17-C17-B17,D19-D15-D16)</f>
        <v>4</v>
      </c>
      <c r="E17">
        <f>MIN(F17-B17-C17-D17,E19-E15-E16)</f>
        <v>0</v>
      </c>
      <c r="F17">
        <v>11</v>
      </c>
      <c r="H17">
        <v>9</v>
      </c>
      <c r="I17">
        <f t="shared" si="0"/>
        <v>10</v>
      </c>
      <c r="J17">
        <f t="shared" si="0"/>
        <v>0</v>
      </c>
      <c r="K17">
        <f t="shared" si="0"/>
        <v>0</v>
      </c>
      <c r="L17">
        <f t="shared" si="0"/>
        <v>0</v>
      </c>
      <c r="N17" t="s">
        <v>3</v>
      </c>
      <c r="P17" t="s">
        <v>25</v>
      </c>
      <c r="Q17" t="s">
        <v>23</v>
      </c>
    </row>
    <row r="18" spans="1:18" x14ac:dyDescent="0.2">
      <c r="A18" t="s">
        <v>30</v>
      </c>
      <c r="B18">
        <f>MIN((B16+B15+B17)-B19,F18)</f>
        <v>0</v>
      </c>
      <c r="C18">
        <f>MIN(F18-B18,C19-C16-C17-C15)</f>
        <v>0</v>
      </c>
      <c r="D18" s="1">
        <f>MIN(F18-C18-B18,D19-D16-D17-D15)</f>
        <v>10</v>
      </c>
      <c r="E18" s="1">
        <f>MIN(F18-B18-D18-C18,E19-E16-E17-E15)</f>
        <v>10</v>
      </c>
      <c r="F18">
        <f>F10</f>
        <v>20</v>
      </c>
      <c r="H18">
        <v>0</v>
      </c>
      <c r="I18">
        <f>B10-$H18-I$14</f>
        <v>11</v>
      </c>
      <c r="J18">
        <f>C10-$H18-J$14</f>
        <v>10</v>
      </c>
      <c r="K18">
        <f>D10-$H18-K$14</f>
        <v>3</v>
      </c>
      <c r="L18">
        <f t="shared" si="0"/>
        <v>3</v>
      </c>
      <c r="N18" t="s">
        <v>30</v>
      </c>
      <c r="Q18" t="s">
        <v>25</v>
      </c>
      <c r="R18" t="s">
        <v>23</v>
      </c>
    </row>
    <row r="19" spans="1:18" x14ac:dyDescent="0.2">
      <c r="A19" t="s">
        <v>9</v>
      </c>
      <c r="B19">
        <f>B11</f>
        <v>12</v>
      </c>
      <c r="C19">
        <f>C11</f>
        <v>15</v>
      </c>
      <c r="D19">
        <v>14</v>
      </c>
      <c r="E19">
        <f>E11</f>
        <v>10</v>
      </c>
      <c r="H19" t="s">
        <v>20</v>
      </c>
    </row>
    <row r="20" spans="1:18" x14ac:dyDescent="0.2">
      <c r="A20" t="s">
        <v>17</v>
      </c>
      <c r="C20">
        <f>SUMPRODUCT(B15:E18,$B$7:$E$10)</f>
        <v>194</v>
      </c>
    </row>
    <row r="26" spans="1:18" x14ac:dyDescent="0.2">
      <c r="A26" t="s">
        <v>19</v>
      </c>
    </row>
    <row r="27" spans="1:18" x14ac:dyDescent="0.2">
      <c r="H27" t="s">
        <v>11</v>
      </c>
      <c r="O27" t="s">
        <v>21</v>
      </c>
      <c r="P27" t="s">
        <v>22</v>
      </c>
      <c r="Q27">
        <v>0</v>
      </c>
    </row>
    <row r="28" spans="1:18" x14ac:dyDescent="0.2">
      <c r="A28" t="s">
        <v>16</v>
      </c>
      <c r="H28" t="s">
        <v>12</v>
      </c>
      <c r="O28" t="s">
        <v>24</v>
      </c>
    </row>
    <row r="29" spans="1:18" x14ac:dyDescent="0.2">
      <c r="B29" t="s">
        <v>4</v>
      </c>
      <c r="C29" t="s">
        <v>5</v>
      </c>
      <c r="D29" t="s">
        <v>6</v>
      </c>
      <c r="E29" t="s">
        <v>7</v>
      </c>
      <c r="F29" t="s">
        <v>8</v>
      </c>
      <c r="H29" t="s">
        <v>13</v>
      </c>
      <c r="I29">
        <v>4</v>
      </c>
      <c r="J29">
        <v>2</v>
      </c>
      <c r="K29">
        <v>-1</v>
      </c>
      <c r="L29">
        <v>0</v>
      </c>
      <c r="O29" t="s">
        <v>4</v>
      </c>
      <c r="P29" t="s">
        <v>5</v>
      </c>
      <c r="Q29" t="s">
        <v>6</v>
      </c>
      <c r="R29" t="s">
        <v>7</v>
      </c>
    </row>
    <row r="30" spans="1:18" x14ac:dyDescent="0.2">
      <c r="A30" t="s">
        <v>1</v>
      </c>
      <c r="B30" s="1">
        <f t="shared" ref="B30:E32" si="1">IF(O15="x",B15-$Q$12,B15+IF(O15="f",$Q$12,0))</f>
        <v>10</v>
      </c>
      <c r="C30">
        <f t="shared" si="1"/>
        <v>0</v>
      </c>
      <c r="D30">
        <f t="shared" si="1"/>
        <v>0</v>
      </c>
      <c r="E30">
        <f t="shared" si="1"/>
        <v>0</v>
      </c>
      <c r="F30">
        <f>F7</f>
        <v>10</v>
      </c>
      <c r="H30">
        <v>-1</v>
      </c>
      <c r="I30">
        <f>B7-$H30-I$29</f>
        <v>0</v>
      </c>
      <c r="J30">
        <f t="shared" ref="J30:L33" si="2">C7-$H30-J$29</f>
        <v>2</v>
      </c>
      <c r="K30">
        <f t="shared" si="2"/>
        <v>8</v>
      </c>
      <c r="L30">
        <f t="shared" si="2"/>
        <v>5</v>
      </c>
      <c r="N30" t="s">
        <v>1</v>
      </c>
      <c r="O30" t="s">
        <v>23</v>
      </c>
      <c r="Q30" t="s">
        <v>25</v>
      </c>
    </row>
    <row r="31" spans="1:18" x14ac:dyDescent="0.2">
      <c r="A31" t="s">
        <v>2</v>
      </c>
      <c r="B31" s="1">
        <f t="shared" si="1"/>
        <v>2</v>
      </c>
      <c r="C31" s="1">
        <f t="shared" si="1"/>
        <v>5</v>
      </c>
      <c r="D31">
        <f t="shared" si="1"/>
        <v>0</v>
      </c>
      <c r="E31" s="1">
        <f t="shared" si="1"/>
        <v>3</v>
      </c>
      <c r="F31">
        <f>F8</f>
        <v>10</v>
      </c>
      <c r="H31">
        <v>3</v>
      </c>
      <c r="I31">
        <f>B8-$H31-I$29</f>
        <v>0</v>
      </c>
      <c r="J31">
        <f t="shared" si="2"/>
        <v>0</v>
      </c>
      <c r="K31">
        <f t="shared" si="2"/>
        <v>7</v>
      </c>
      <c r="L31">
        <f t="shared" si="2"/>
        <v>0</v>
      </c>
      <c r="N31" t="s">
        <v>2</v>
      </c>
    </row>
    <row r="32" spans="1:18" x14ac:dyDescent="0.2">
      <c r="A32" t="s">
        <v>3</v>
      </c>
      <c r="B32">
        <f t="shared" si="1"/>
        <v>0</v>
      </c>
      <c r="C32" s="1">
        <f t="shared" si="1"/>
        <v>10</v>
      </c>
      <c r="D32">
        <f t="shared" si="1"/>
        <v>1</v>
      </c>
      <c r="E32">
        <f t="shared" si="1"/>
        <v>0</v>
      </c>
      <c r="F32">
        <f>F9</f>
        <v>10</v>
      </c>
      <c r="H32">
        <v>2</v>
      </c>
      <c r="I32">
        <f>B9-$H32-I$29</f>
        <v>10</v>
      </c>
      <c r="J32">
        <f t="shared" si="2"/>
        <v>0</v>
      </c>
      <c r="K32">
        <f t="shared" si="2"/>
        <v>7</v>
      </c>
      <c r="L32">
        <f t="shared" si="2"/>
        <v>7</v>
      </c>
      <c r="N32" t="s">
        <v>3</v>
      </c>
      <c r="Q32" t="s">
        <v>23</v>
      </c>
      <c r="R32" t="s">
        <v>25</v>
      </c>
    </row>
    <row r="33" spans="1:18" x14ac:dyDescent="0.2">
      <c r="A33" t="s">
        <v>30</v>
      </c>
      <c r="B33">
        <f>IF(O18="x",B18-$Q$12,B18+IF(O18="f",$Q$12,0))</f>
        <v>0</v>
      </c>
      <c r="C33">
        <f>IF(P18="x",C18-$Q$12,C18+IF(P18="f",$Q$12,0))</f>
        <v>0</v>
      </c>
      <c r="D33" s="1">
        <f>IF(Q18="x",D18-$Q$12,D18+IF(Q18="f",$Q$12,0))</f>
        <v>13</v>
      </c>
      <c r="E33" s="1">
        <f>IF(R18="x",E18-$Q$12,E18+IF(R18="f",$Q$12,0))</f>
        <v>7</v>
      </c>
      <c r="F33">
        <f>F10</f>
        <v>20</v>
      </c>
      <c r="H33">
        <v>3</v>
      </c>
      <c r="I33">
        <f>B10-$H33-I$29</f>
        <v>1</v>
      </c>
      <c r="J33">
        <f t="shared" si="2"/>
        <v>0</v>
      </c>
      <c r="K33">
        <f t="shared" si="2"/>
        <v>0</v>
      </c>
      <c r="L33">
        <f t="shared" si="2"/>
        <v>0</v>
      </c>
      <c r="N33" t="s">
        <v>30</v>
      </c>
      <c r="O33" t="s">
        <v>25</v>
      </c>
      <c r="R33" t="s">
        <v>23</v>
      </c>
    </row>
    <row r="34" spans="1:18" x14ac:dyDescent="0.2">
      <c r="A34" t="s">
        <v>9</v>
      </c>
      <c r="B34">
        <f>B11</f>
        <v>12</v>
      </c>
      <c r="C34">
        <f>C11</f>
        <v>15</v>
      </c>
      <c r="D34">
        <f>D11</f>
        <v>13</v>
      </c>
      <c r="E34">
        <f>E11</f>
        <v>10</v>
      </c>
    </row>
    <row r="35" spans="1:18" x14ac:dyDescent="0.2">
      <c r="H35" t="s">
        <v>20</v>
      </c>
    </row>
    <row r="36" spans="1:18" x14ac:dyDescent="0.2">
      <c r="A36" t="s">
        <v>17</v>
      </c>
      <c r="C36">
        <f>SUMPRODUCT(B30:E33,$B$7:$E$10)</f>
        <v>173</v>
      </c>
    </row>
    <row r="42" spans="1:18" x14ac:dyDescent="0.2">
      <c r="A42" t="s">
        <v>26</v>
      </c>
    </row>
    <row r="43" spans="1:18" x14ac:dyDescent="0.2">
      <c r="H43" t="s">
        <v>11</v>
      </c>
      <c r="O43" t="s">
        <v>21</v>
      </c>
      <c r="P43" t="s">
        <v>22</v>
      </c>
      <c r="Q43">
        <v>0</v>
      </c>
    </row>
    <row r="44" spans="1:18" x14ac:dyDescent="0.2">
      <c r="A44" t="s">
        <v>16</v>
      </c>
      <c r="H44" t="s">
        <v>12</v>
      </c>
      <c r="O44" t="s">
        <v>24</v>
      </c>
    </row>
    <row r="45" spans="1:18" x14ac:dyDescent="0.2">
      <c r="B45" t="s">
        <v>4</v>
      </c>
      <c r="C45" t="s">
        <v>5</v>
      </c>
      <c r="D45" t="s">
        <v>6</v>
      </c>
      <c r="E45" t="s">
        <v>7</v>
      </c>
      <c r="F45" t="s">
        <v>8</v>
      </c>
      <c r="H45" t="s">
        <v>13</v>
      </c>
      <c r="I45">
        <v>0</v>
      </c>
      <c r="J45">
        <v>3</v>
      </c>
      <c r="K45">
        <v>1</v>
      </c>
      <c r="L45">
        <v>0</v>
      </c>
      <c r="O45" t="s">
        <v>4</v>
      </c>
      <c r="P45" t="s">
        <v>5</v>
      </c>
      <c r="Q45" t="s">
        <v>6</v>
      </c>
      <c r="R45" t="s">
        <v>7</v>
      </c>
    </row>
    <row r="46" spans="1:18" x14ac:dyDescent="0.2">
      <c r="A46" t="s">
        <v>1</v>
      </c>
      <c r="B46">
        <f t="shared" ref="B46:E48" si="3">IF(O30="x",B30-$Q$27,B30+IF(O30="f",$Q$27,0))</f>
        <v>10</v>
      </c>
      <c r="C46">
        <f t="shared" si="3"/>
        <v>0</v>
      </c>
      <c r="D46">
        <f t="shared" si="3"/>
        <v>0</v>
      </c>
      <c r="E46">
        <f t="shared" si="3"/>
        <v>0</v>
      </c>
      <c r="F46">
        <f>F7</f>
        <v>10</v>
      </c>
      <c r="H46">
        <v>3</v>
      </c>
      <c r="I46">
        <f t="shared" ref="I46:L49" si="4">B7-$H46-I$45</f>
        <v>0</v>
      </c>
      <c r="J46">
        <f t="shared" si="4"/>
        <v>-3</v>
      </c>
      <c r="K46">
        <f t="shared" si="4"/>
        <v>2</v>
      </c>
      <c r="L46">
        <f t="shared" si="4"/>
        <v>1</v>
      </c>
      <c r="N46" t="s">
        <v>1</v>
      </c>
    </row>
    <row r="47" spans="1:18" x14ac:dyDescent="0.2">
      <c r="A47" t="s">
        <v>2</v>
      </c>
      <c r="B47">
        <f t="shared" si="3"/>
        <v>2</v>
      </c>
      <c r="C47">
        <f t="shared" si="3"/>
        <v>5</v>
      </c>
      <c r="D47">
        <f t="shared" si="3"/>
        <v>0</v>
      </c>
      <c r="E47">
        <f t="shared" si="3"/>
        <v>3</v>
      </c>
      <c r="F47">
        <f>F8</f>
        <v>10</v>
      </c>
      <c r="H47">
        <v>2</v>
      </c>
      <c r="I47">
        <f t="shared" si="4"/>
        <v>5</v>
      </c>
      <c r="J47">
        <f t="shared" si="4"/>
        <v>0</v>
      </c>
      <c r="K47">
        <f t="shared" si="4"/>
        <v>6</v>
      </c>
      <c r="L47">
        <f t="shared" si="4"/>
        <v>1</v>
      </c>
      <c r="N47" t="s">
        <v>2</v>
      </c>
      <c r="O47" t="s">
        <v>23</v>
      </c>
      <c r="Q47" t="s">
        <v>25</v>
      </c>
    </row>
    <row r="48" spans="1:18" x14ac:dyDescent="0.2">
      <c r="A48" t="s">
        <v>3</v>
      </c>
      <c r="B48">
        <f t="shared" si="3"/>
        <v>0</v>
      </c>
      <c r="C48">
        <f t="shared" si="3"/>
        <v>10</v>
      </c>
      <c r="D48">
        <f t="shared" si="3"/>
        <v>1</v>
      </c>
      <c r="E48">
        <f t="shared" si="3"/>
        <v>0</v>
      </c>
      <c r="F48">
        <f>F9</f>
        <v>10</v>
      </c>
      <c r="H48">
        <v>1</v>
      </c>
      <c r="I48">
        <f t="shared" si="4"/>
        <v>15</v>
      </c>
      <c r="J48">
        <f t="shared" si="4"/>
        <v>0</v>
      </c>
      <c r="K48">
        <f t="shared" si="4"/>
        <v>6</v>
      </c>
      <c r="L48">
        <f t="shared" si="4"/>
        <v>8</v>
      </c>
      <c r="N48" t="s">
        <v>3</v>
      </c>
      <c r="Q48" t="s">
        <v>23</v>
      </c>
      <c r="R48" t="s">
        <v>25</v>
      </c>
    </row>
    <row r="49" spans="1:18" x14ac:dyDescent="0.2">
      <c r="A49" t="s">
        <v>30</v>
      </c>
      <c r="B49">
        <f>IF(O33="x",B33-$Q$27,B33+IF(O33="f",$Q$27,0))</f>
        <v>0</v>
      </c>
      <c r="C49">
        <f>IF(P33="x",C33-$Q$27,C33+IF(P33="f",$Q$27,0))</f>
        <v>0</v>
      </c>
      <c r="D49">
        <f>IF(Q33="x",D33-$Q$27,D33+IF(Q33="f",$Q$27,0))</f>
        <v>13</v>
      </c>
      <c r="E49">
        <f>IF(R33="x",E33-$Q$27,E33+IF(R33="f",$Q$27,0))</f>
        <v>7</v>
      </c>
      <c r="F49">
        <f>F10</f>
        <v>20</v>
      </c>
      <c r="H49">
        <v>2</v>
      </c>
      <c r="I49">
        <f t="shared" si="4"/>
        <v>6</v>
      </c>
      <c r="J49">
        <f t="shared" si="4"/>
        <v>0</v>
      </c>
      <c r="K49">
        <f t="shared" si="4"/>
        <v>-1</v>
      </c>
      <c r="L49">
        <f t="shared" si="4"/>
        <v>1</v>
      </c>
      <c r="O49" t="s">
        <v>25</v>
      </c>
      <c r="R49" t="s">
        <v>23</v>
      </c>
    </row>
    <row r="50" spans="1:18" x14ac:dyDescent="0.2">
      <c r="A50" t="s">
        <v>9</v>
      </c>
      <c r="B50">
        <f>B11</f>
        <v>12</v>
      </c>
      <c r="C50">
        <f>C11</f>
        <v>15</v>
      </c>
      <c r="D50">
        <f>D11</f>
        <v>13</v>
      </c>
      <c r="E50">
        <f>E11</f>
        <v>10</v>
      </c>
    </row>
    <row r="51" spans="1:18" x14ac:dyDescent="0.2">
      <c r="H51" t="s">
        <v>20</v>
      </c>
    </row>
    <row r="52" spans="1:18" x14ac:dyDescent="0.2">
      <c r="A52" t="s">
        <v>17</v>
      </c>
      <c r="C52">
        <f>SUMPRODUCT(B46:E49,$B$7:$E$10)</f>
        <v>173</v>
      </c>
    </row>
    <row r="58" spans="1:18" x14ac:dyDescent="0.2">
      <c r="A58" t="s">
        <v>27</v>
      </c>
    </row>
    <row r="59" spans="1:18" x14ac:dyDescent="0.2">
      <c r="H59" t="s">
        <v>11</v>
      </c>
      <c r="O59" t="s">
        <v>21</v>
      </c>
      <c r="P59" t="s">
        <v>22</v>
      </c>
      <c r="Q59">
        <v>100</v>
      </c>
    </row>
    <row r="60" spans="1:18" x14ac:dyDescent="0.2">
      <c r="A60" t="s">
        <v>16</v>
      </c>
      <c r="H60" t="s">
        <v>12</v>
      </c>
      <c r="O60" t="s">
        <v>24</v>
      </c>
    </row>
    <row r="61" spans="1:18" x14ac:dyDescent="0.2">
      <c r="B61" t="s">
        <v>4</v>
      </c>
      <c r="C61" t="s">
        <v>5</v>
      </c>
      <c r="D61" t="s">
        <v>6</v>
      </c>
      <c r="E61" t="s">
        <v>7</v>
      </c>
      <c r="F61" t="s">
        <v>8</v>
      </c>
      <c r="H61" t="s">
        <v>13</v>
      </c>
      <c r="I61">
        <v>0</v>
      </c>
      <c r="J61">
        <v>3</v>
      </c>
      <c r="K61">
        <v>-1</v>
      </c>
      <c r="L61">
        <v>0</v>
      </c>
      <c r="O61" t="s">
        <v>4</v>
      </c>
      <c r="P61" t="s">
        <v>5</v>
      </c>
      <c r="Q61" t="s">
        <v>6</v>
      </c>
      <c r="R61" t="s">
        <v>7</v>
      </c>
    </row>
    <row r="62" spans="1:18" x14ac:dyDescent="0.2">
      <c r="A62" t="s">
        <v>1</v>
      </c>
      <c r="B62">
        <f t="shared" ref="B62:E63" si="5">IF(O46="x",B46-$Q$43,B46+IF(O46="f",$Q$43,0))</f>
        <v>10</v>
      </c>
      <c r="C62">
        <f t="shared" si="5"/>
        <v>0</v>
      </c>
      <c r="D62">
        <f t="shared" si="5"/>
        <v>0</v>
      </c>
      <c r="E62">
        <f t="shared" si="5"/>
        <v>0</v>
      </c>
      <c r="F62">
        <f>F7</f>
        <v>10</v>
      </c>
      <c r="H62">
        <v>5</v>
      </c>
      <c r="I62">
        <f t="shared" ref="I62:L65" si="6">B7-$H62-I$61</f>
        <v>-2</v>
      </c>
      <c r="J62">
        <f t="shared" si="6"/>
        <v>-5</v>
      </c>
      <c r="K62">
        <f t="shared" si="6"/>
        <v>2</v>
      </c>
      <c r="L62">
        <f t="shared" si="6"/>
        <v>-1</v>
      </c>
      <c r="N62" t="s">
        <v>1</v>
      </c>
    </row>
    <row r="63" spans="1:18" x14ac:dyDescent="0.2">
      <c r="A63" t="s">
        <v>2</v>
      </c>
      <c r="B63">
        <f t="shared" si="5"/>
        <v>2</v>
      </c>
      <c r="C63">
        <f t="shared" si="5"/>
        <v>5</v>
      </c>
      <c r="D63">
        <f t="shared" si="5"/>
        <v>0</v>
      </c>
      <c r="E63">
        <f t="shared" si="5"/>
        <v>3</v>
      </c>
      <c r="F63">
        <f>F8</f>
        <v>10</v>
      </c>
      <c r="H63">
        <v>2</v>
      </c>
      <c r="I63">
        <f t="shared" si="6"/>
        <v>5</v>
      </c>
      <c r="J63">
        <f t="shared" si="6"/>
        <v>0</v>
      </c>
      <c r="K63">
        <f t="shared" si="6"/>
        <v>8</v>
      </c>
      <c r="L63">
        <f t="shared" si="6"/>
        <v>1</v>
      </c>
      <c r="N63" t="s">
        <v>2</v>
      </c>
    </row>
    <row r="64" spans="1:18" x14ac:dyDescent="0.2">
      <c r="A64" t="s">
        <v>3</v>
      </c>
      <c r="B64">
        <f t="shared" ref="B64:E65" si="7">IF(O48="x",B48-$Q$43,B48+IF(O48="f",$Q$43,0))</f>
        <v>0</v>
      </c>
      <c r="C64">
        <f t="shared" si="7"/>
        <v>10</v>
      </c>
      <c r="D64">
        <f t="shared" si="7"/>
        <v>1</v>
      </c>
      <c r="E64">
        <f t="shared" si="7"/>
        <v>0</v>
      </c>
      <c r="F64">
        <f>F9</f>
        <v>10</v>
      </c>
      <c r="H64">
        <v>1</v>
      </c>
      <c r="I64">
        <f t="shared" si="6"/>
        <v>15</v>
      </c>
      <c r="J64">
        <f t="shared" si="6"/>
        <v>0</v>
      </c>
      <c r="K64">
        <f t="shared" si="6"/>
        <v>8</v>
      </c>
      <c r="L64">
        <f t="shared" si="6"/>
        <v>8</v>
      </c>
      <c r="N64" t="s">
        <v>3</v>
      </c>
      <c r="P64" t="s">
        <v>23</v>
      </c>
      <c r="R64" t="s">
        <v>25</v>
      </c>
    </row>
    <row r="65" spans="1:18" x14ac:dyDescent="0.2">
      <c r="A65" t="s">
        <v>30</v>
      </c>
      <c r="B65">
        <f t="shared" si="7"/>
        <v>0</v>
      </c>
      <c r="C65">
        <f t="shared" si="7"/>
        <v>0</v>
      </c>
      <c r="D65">
        <f t="shared" si="7"/>
        <v>13</v>
      </c>
      <c r="E65">
        <f t="shared" si="7"/>
        <v>7</v>
      </c>
      <c r="F65">
        <f>F10</f>
        <v>20</v>
      </c>
      <c r="H65">
        <v>2</v>
      </c>
      <c r="I65">
        <f t="shared" si="6"/>
        <v>6</v>
      </c>
      <c r="J65">
        <f t="shared" si="6"/>
        <v>0</v>
      </c>
      <c r="K65">
        <f t="shared" si="6"/>
        <v>1</v>
      </c>
      <c r="L65">
        <f t="shared" si="6"/>
        <v>1</v>
      </c>
      <c r="N65" t="s">
        <v>32</v>
      </c>
      <c r="P65" t="s">
        <v>25</v>
      </c>
      <c r="R65" t="s">
        <v>23</v>
      </c>
    </row>
    <row r="66" spans="1:18" x14ac:dyDescent="0.2">
      <c r="A66" t="s">
        <v>9</v>
      </c>
      <c r="B66">
        <f>B11</f>
        <v>12</v>
      </c>
      <c r="C66">
        <f>C11</f>
        <v>15</v>
      </c>
      <c r="D66">
        <f>D11</f>
        <v>13</v>
      </c>
      <c r="E66">
        <f>E11</f>
        <v>10</v>
      </c>
    </row>
    <row r="67" spans="1:18" x14ac:dyDescent="0.2">
      <c r="H67" t="s">
        <v>20</v>
      </c>
    </row>
    <row r="68" spans="1:18" x14ac:dyDescent="0.2">
      <c r="A68" t="s">
        <v>17</v>
      </c>
      <c r="C68">
        <f>SUMPRODUCT(B62:E65,$B$7:$E$10)</f>
        <v>173</v>
      </c>
    </row>
    <row r="74" spans="1:18" x14ac:dyDescent="0.2">
      <c r="A74" t="s">
        <v>28</v>
      </c>
    </row>
    <row r="75" spans="1:18" x14ac:dyDescent="0.2">
      <c r="H75" t="s">
        <v>11</v>
      </c>
      <c r="O75" t="s">
        <v>21</v>
      </c>
      <c r="P75" t="s">
        <v>22</v>
      </c>
    </row>
    <row r="76" spans="1:18" x14ac:dyDescent="0.2">
      <c r="A76" t="s">
        <v>16</v>
      </c>
      <c r="H76" t="s">
        <v>12</v>
      </c>
      <c r="O76" t="s">
        <v>24</v>
      </c>
    </row>
    <row r="77" spans="1:18" x14ac:dyDescent="0.2">
      <c r="B77" t="s">
        <v>4</v>
      </c>
      <c r="C77" t="s">
        <v>5</v>
      </c>
      <c r="D77" t="s">
        <v>6</v>
      </c>
      <c r="E77" t="s">
        <v>7</v>
      </c>
      <c r="F77" t="s">
        <v>8</v>
      </c>
      <c r="H77" t="s">
        <v>13</v>
      </c>
      <c r="I77">
        <v>0</v>
      </c>
      <c r="J77">
        <v>-1</v>
      </c>
      <c r="K77">
        <v>2</v>
      </c>
      <c r="L77">
        <v>0</v>
      </c>
      <c r="O77" t="s">
        <v>4</v>
      </c>
      <c r="P77" t="s">
        <v>5</v>
      </c>
      <c r="Q77" t="s">
        <v>6</v>
      </c>
      <c r="R77" t="s">
        <v>7</v>
      </c>
    </row>
    <row r="78" spans="1:18" x14ac:dyDescent="0.2">
      <c r="A78" t="s">
        <v>1</v>
      </c>
      <c r="B78">
        <f t="shared" ref="B78:E80" si="8">IF(O62="x",B62-$Q$59,B62+IF(O62="f",$Q$59,0))</f>
        <v>10</v>
      </c>
      <c r="C78">
        <f t="shared" si="8"/>
        <v>0</v>
      </c>
      <c r="D78">
        <f t="shared" si="8"/>
        <v>0</v>
      </c>
      <c r="E78">
        <f t="shared" si="8"/>
        <v>0</v>
      </c>
      <c r="F78">
        <f>F7</f>
        <v>10</v>
      </c>
      <c r="H78">
        <v>2</v>
      </c>
      <c r="I78">
        <f t="shared" ref="I78:L81" si="9">B7-$H78-I$77</f>
        <v>1</v>
      </c>
      <c r="J78">
        <f t="shared" si="9"/>
        <v>2</v>
      </c>
      <c r="K78">
        <f t="shared" si="9"/>
        <v>2</v>
      </c>
      <c r="L78">
        <f t="shared" si="9"/>
        <v>2</v>
      </c>
      <c r="N78" t="s">
        <v>1</v>
      </c>
    </row>
    <row r="79" spans="1:18" x14ac:dyDescent="0.2">
      <c r="A79" t="s">
        <v>2</v>
      </c>
      <c r="B79">
        <f t="shared" si="8"/>
        <v>2</v>
      </c>
      <c r="C79">
        <f t="shared" si="8"/>
        <v>5</v>
      </c>
      <c r="D79">
        <f t="shared" si="8"/>
        <v>0</v>
      </c>
      <c r="E79">
        <f t="shared" si="8"/>
        <v>3</v>
      </c>
      <c r="F79">
        <f>F8</f>
        <v>10</v>
      </c>
      <c r="H79">
        <v>2</v>
      </c>
      <c r="I79">
        <f t="shared" si="9"/>
        <v>5</v>
      </c>
      <c r="J79">
        <f t="shared" si="9"/>
        <v>4</v>
      </c>
      <c r="K79">
        <f t="shared" si="9"/>
        <v>5</v>
      </c>
      <c r="L79">
        <f t="shared" si="9"/>
        <v>1</v>
      </c>
      <c r="N79" t="s">
        <v>2</v>
      </c>
    </row>
    <row r="80" spans="1:18" x14ac:dyDescent="0.2">
      <c r="A80" t="s">
        <v>3</v>
      </c>
      <c r="B80">
        <f t="shared" si="8"/>
        <v>0</v>
      </c>
      <c r="C80">
        <f t="shared" si="8"/>
        <v>-90</v>
      </c>
      <c r="D80">
        <f t="shared" si="8"/>
        <v>1</v>
      </c>
      <c r="E80">
        <f t="shared" si="8"/>
        <v>100</v>
      </c>
      <c r="F80">
        <f>F9</f>
        <v>10</v>
      </c>
      <c r="H80">
        <v>1</v>
      </c>
      <c r="I80">
        <f t="shared" si="9"/>
        <v>15</v>
      </c>
      <c r="J80">
        <f t="shared" si="9"/>
        <v>4</v>
      </c>
      <c r="K80">
        <f t="shared" si="9"/>
        <v>5</v>
      </c>
      <c r="L80">
        <f t="shared" si="9"/>
        <v>8</v>
      </c>
      <c r="N80" t="s">
        <v>3</v>
      </c>
    </row>
    <row r="81" spans="1:12" x14ac:dyDescent="0.2">
      <c r="A81" t="s">
        <v>32</v>
      </c>
      <c r="B81">
        <f>IF(O65="x",B65-$Q$59,B65+IF(O65="f",$Q$59,0))</f>
        <v>0</v>
      </c>
      <c r="C81">
        <f>IF(P65="x",C65-$Q$59,C65+IF(P65="f",$Q$59,0))</f>
        <v>100</v>
      </c>
      <c r="D81">
        <f>IF(Q65="x",D65-$Q$59,D65+IF(Q65="f",$Q$59,0))</f>
        <v>13</v>
      </c>
      <c r="E81">
        <f>IF(R65="x",E65-$Q$59,E65+IF(R65="f",$Q$59,0))</f>
        <v>-93</v>
      </c>
      <c r="F81">
        <f>F10</f>
        <v>20</v>
      </c>
      <c r="H81">
        <v>2</v>
      </c>
      <c r="I81">
        <f t="shared" si="9"/>
        <v>6</v>
      </c>
      <c r="J81">
        <f t="shared" si="9"/>
        <v>4</v>
      </c>
      <c r="K81">
        <f t="shared" si="9"/>
        <v>-2</v>
      </c>
      <c r="L81">
        <f t="shared" si="9"/>
        <v>1</v>
      </c>
    </row>
    <row r="82" spans="1:12" x14ac:dyDescent="0.2">
      <c r="A82" t="s">
        <v>9</v>
      </c>
      <c r="B82">
        <f>B11</f>
        <v>12</v>
      </c>
      <c r="C82">
        <f>C11</f>
        <v>15</v>
      </c>
      <c r="D82">
        <f>D11</f>
        <v>13</v>
      </c>
      <c r="E82">
        <f>E11</f>
        <v>10</v>
      </c>
    </row>
    <row r="84" spans="1:12" x14ac:dyDescent="0.2">
      <c r="A84" t="s">
        <v>17</v>
      </c>
      <c r="C84">
        <f>SUMPRODUCT(B7:E10,B78:E81)</f>
        <v>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383D-02F5-4E0C-B54C-1DC04F1F7084}">
  <dimension ref="A1:R80"/>
  <sheetViews>
    <sheetView workbookViewId="0">
      <selection activeCell="B7" sqref="B7:F11"/>
    </sheetView>
  </sheetViews>
  <sheetFormatPr baseColWidth="10" defaultColWidth="8.83203125" defaultRowHeight="15" x14ac:dyDescent="0.2"/>
  <sheetData>
    <row r="1" spans="1:18" x14ac:dyDescent="0.2">
      <c r="A1" t="s">
        <v>18</v>
      </c>
    </row>
    <row r="5" spans="1:18" x14ac:dyDescent="0.2">
      <c r="A5" t="s">
        <v>15</v>
      </c>
    </row>
    <row r="6" spans="1:18" x14ac:dyDescent="0.2">
      <c r="B6" t="s">
        <v>4</v>
      </c>
      <c r="C6" t="s">
        <v>5</v>
      </c>
      <c r="D6" t="s">
        <v>6</v>
      </c>
      <c r="E6" t="s">
        <v>7</v>
      </c>
    </row>
    <row r="7" spans="1:18" x14ac:dyDescent="0.2">
      <c r="A7" t="s">
        <v>1</v>
      </c>
      <c r="B7">
        <v>5</v>
      </c>
      <c r="C7">
        <v>6</v>
      </c>
      <c r="D7">
        <v>4</v>
      </c>
      <c r="E7">
        <v>2</v>
      </c>
      <c r="F7">
        <v>100</v>
      </c>
    </row>
    <row r="8" spans="1:18" x14ac:dyDescent="0.2">
      <c r="A8" t="s">
        <v>2</v>
      </c>
      <c r="B8">
        <v>2</v>
      </c>
      <c r="C8">
        <v>9</v>
      </c>
      <c r="D8">
        <v>1</v>
      </c>
      <c r="E8">
        <v>3</v>
      </c>
      <c r="F8">
        <v>200</v>
      </c>
    </row>
    <row r="9" spans="1:18" x14ac:dyDescent="0.2">
      <c r="A9" t="s">
        <v>14</v>
      </c>
      <c r="B9">
        <v>3</v>
      </c>
      <c r="C9">
        <v>4</v>
      </c>
      <c r="D9">
        <v>2</v>
      </c>
      <c r="E9">
        <v>1</v>
      </c>
      <c r="F9">
        <v>200</v>
      </c>
    </row>
    <row r="10" spans="1:18" x14ac:dyDescent="0.2">
      <c r="A10" t="s">
        <v>31</v>
      </c>
      <c r="B10">
        <v>2</v>
      </c>
      <c r="C10">
        <v>1</v>
      </c>
      <c r="D10">
        <v>3</v>
      </c>
      <c r="E10">
        <v>2</v>
      </c>
      <c r="F10">
        <v>100</v>
      </c>
    </row>
    <row r="11" spans="1:18" x14ac:dyDescent="0.2">
      <c r="B11">
        <v>200</v>
      </c>
      <c r="C11">
        <v>100</v>
      </c>
      <c r="D11">
        <v>100</v>
      </c>
      <c r="E11">
        <v>200</v>
      </c>
    </row>
    <row r="12" spans="1:18" x14ac:dyDescent="0.2">
      <c r="A12" t="s">
        <v>10</v>
      </c>
      <c r="H12" t="s">
        <v>11</v>
      </c>
      <c r="O12" t="s">
        <v>21</v>
      </c>
      <c r="P12" t="s">
        <v>22</v>
      </c>
      <c r="Q12">
        <v>17</v>
      </c>
    </row>
    <row r="13" spans="1:18" x14ac:dyDescent="0.2">
      <c r="A13" t="s">
        <v>16</v>
      </c>
      <c r="H13" t="s">
        <v>12</v>
      </c>
      <c r="O13" t="s">
        <v>24</v>
      </c>
    </row>
    <row r="14" spans="1:18" x14ac:dyDescent="0.2">
      <c r="B14" t="s">
        <v>4</v>
      </c>
      <c r="C14" t="s">
        <v>5</v>
      </c>
      <c r="D14" t="s">
        <v>6</v>
      </c>
      <c r="E14" t="s">
        <v>7</v>
      </c>
      <c r="F14" t="s">
        <v>8</v>
      </c>
      <c r="H14" t="s">
        <v>13</v>
      </c>
      <c r="I14">
        <v>9</v>
      </c>
      <c r="J14">
        <v>6</v>
      </c>
      <c r="K14">
        <v>-1</v>
      </c>
      <c r="L14">
        <v>0</v>
      </c>
      <c r="O14" t="s">
        <v>4</v>
      </c>
      <c r="P14" t="s">
        <v>5</v>
      </c>
      <c r="Q14" t="s">
        <v>6</v>
      </c>
      <c r="R14" t="s">
        <v>29</v>
      </c>
    </row>
    <row r="15" spans="1:18" x14ac:dyDescent="0.2">
      <c r="A15" t="s">
        <v>1</v>
      </c>
      <c r="B15" s="1">
        <f>MIN(B19,F15)</f>
        <v>100</v>
      </c>
      <c r="C15" s="1">
        <f>MIN(F15-B15,C19)</f>
        <v>0</v>
      </c>
      <c r="D15">
        <f>MIN(F15-C15-B15,D19)</f>
        <v>0</v>
      </c>
      <c r="E15">
        <f>MIN(F15-B15-C15-D15,E19)</f>
        <v>0</v>
      </c>
      <c r="F15">
        <f>F7</f>
        <v>100</v>
      </c>
      <c r="H15">
        <v>-4</v>
      </c>
      <c r="I15">
        <f>B7-$H15-I$14</f>
        <v>0</v>
      </c>
      <c r="J15">
        <f t="shared" ref="I15:L17" si="0">C7-$H15-J$14</f>
        <v>4</v>
      </c>
      <c r="K15">
        <f t="shared" si="0"/>
        <v>9</v>
      </c>
      <c r="L15">
        <f t="shared" si="0"/>
        <v>6</v>
      </c>
      <c r="N15" t="s">
        <v>1</v>
      </c>
      <c r="O15" t="s">
        <v>23</v>
      </c>
      <c r="P15" t="s">
        <v>25</v>
      </c>
    </row>
    <row r="16" spans="1:18" x14ac:dyDescent="0.2">
      <c r="A16" t="s">
        <v>2</v>
      </c>
      <c r="B16" s="1">
        <f>MIN(B20,F16)</f>
        <v>200</v>
      </c>
      <c r="C16" s="1">
        <f>MIN(F16-B16,C19-C15)</f>
        <v>0</v>
      </c>
      <c r="D16" s="1">
        <f>MIN(F16-C16-B16,D19-D15)</f>
        <v>0</v>
      </c>
      <c r="E16">
        <f>MIN(F16-B16-C16-D16,E19)</f>
        <v>0</v>
      </c>
      <c r="F16">
        <f>F8</f>
        <v>200</v>
      </c>
      <c r="H16">
        <v>6</v>
      </c>
      <c r="I16">
        <f t="shared" si="0"/>
        <v>-13</v>
      </c>
      <c r="J16">
        <f t="shared" si="0"/>
        <v>-3</v>
      </c>
      <c r="K16">
        <f t="shared" si="0"/>
        <v>-4</v>
      </c>
      <c r="L16">
        <f t="shared" si="0"/>
        <v>-3</v>
      </c>
      <c r="N16" t="s">
        <v>2</v>
      </c>
      <c r="P16" t="s">
        <v>23</v>
      </c>
      <c r="Q16" t="s">
        <v>25</v>
      </c>
    </row>
    <row r="17" spans="1:17" x14ac:dyDescent="0.2">
      <c r="A17" t="s">
        <v>3</v>
      </c>
      <c r="B17" s="1">
        <f>MIN(B21,F17)</f>
        <v>200</v>
      </c>
      <c r="C17">
        <f>MIN(F17-B17,C19-C15-C16)</f>
        <v>0</v>
      </c>
      <c r="D17" s="1">
        <f>MIN(F17-C17-B17,D19-D15-D16)</f>
        <v>0</v>
      </c>
      <c r="E17" s="1">
        <f>MIN(F17-B17-C17-D17,E19-E15-E16)</f>
        <v>0</v>
      </c>
      <c r="F17">
        <f>F9</f>
        <v>200</v>
      </c>
      <c r="H17">
        <v>8</v>
      </c>
      <c r="I17">
        <f t="shared" si="0"/>
        <v>-14</v>
      </c>
      <c r="J17">
        <f t="shared" si="0"/>
        <v>-10</v>
      </c>
      <c r="K17">
        <f t="shared" si="0"/>
        <v>-5</v>
      </c>
      <c r="L17">
        <f t="shared" si="0"/>
        <v>-7</v>
      </c>
      <c r="N17" t="s">
        <v>3</v>
      </c>
      <c r="O17" t="s">
        <v>25</v>
      </c>
      <c r="Q17" t="s">
        <v>23</v>
      </c>
    </row>
    <row r="18" spans="1:17" x14ac:dyDescent="0.2">
      <c r="A18" t="s">
        <v>30</v>
      </c>
      <c r="B18" s="1">
        <f>MIN(B22,F18)</f>
        <v>100</v>
      </c>
      <c r="C18" s="1">
        <f>MIN(C22,G18)</f>
        <v>0</v>
      </c>
      <c r="D18" s="1">
        <f>MIN(D22,H18)</f>
        <v>0</v>
      </c>
      <c r="E18" s="1">
        <f>MIN(E22,I18)</f>
        <v>0</v>
      </c>
      <c r="F18">
        <f>F10</f>
        <v>100</v>
      </c>
    </row>
    <row r="19" spans="1:17" x14ac:dyDescent="0.2">
      <c r="A19" t="s">
        <v>9</v>
      </c>
      <c r="B19">
        <f>B11</f>
        <v>200</v>
      </c>
      <c r="C19">
        <f>C11</f>
        <v>100</v>
      </c>
      <c r="D19">
        <f>D11</f>
        <v>100</v>
      </c>
      <c r="E19">
        <f>E11</f>
        <v>200</v>
      </c>
    </row>
    <row r="20" spans="1:17" x14ac:dyDescent="0.2">
      <c r="H20" t="s">
        <v>20</v>
      </c>
      <c r="I20">
        <v>1.3</v>
      </c>
    </row>
    <row r="21" spans="1:17" x14ac:dyDescent="0.2">
      <c r="A21" t="s">
        <v>17</v>
      </c>
      <c r="C21">
        <f>SUMPRODUCT(B15:E17,$B$7:$E$9)</f>
        <v>1500</v>
      </c>
    </row>
    <row r="26" spans="1:17" x14ac:dyDescent="0.2">
      <c r="A26" t="s">
        <v>19</v>
      </c>
    </row>
    <row r="27" spans="1:17" x14ac:dyDescent="0.2">
      <c r="H27" t="s">
        <v>11</v>
      </c>
      <c r="O27" t="s">
        <v>21</v>
      </c>
      <c r="P27" t="s">
        <v>22</v>
      </c>
      <c r="Q27">
        <v>3</v>
      </c>
    </row>
    <row r="28" spans="1:17" x14ac:dyDescent="0.2">
      <c r="A28" t="s">
        <v>16</v>
      </c>
      <c r="H28" t="s">
        <v>12</v>
      </c>
      <c r="O28" t="s">
        <v>24</v>
      </c>
    </row>
    <row r="29" spans="1:17" x14ac:dyDescent="0.2">
      <c r="B29" t="s">
        <v>4</v>
      </c>
      <c r="C29" t="s">
        <v>5</v>
      </c>
      <c r="D29" t="s">
        <v>6</v>
      </c>
      <c r="E29" t="s">
        <v>7</v>
      </c>
      <c r="F29" t="s">
        <v>8</v>
      </c>
      <c r="H29" t="s">
        <v>13</v>
      </c>
      <c r="I29">
        <v>0</v>
      </c>
      <c r="J29">
        <v>6</v>
      </c>
      <c r="K29">
        <v>-1</v>
      </c>
      <c r="L29">
        <v>0</v>
      </c>
      <c r="O29" t="s">
        <v>4</v>
      </c>
      <c r="P29" t="s">
        <v>5</v>
      </c>
      <c r="Q29" t="s">
        <v>6</v>
      </c>
    </row>
    <row r="30" spans="1:17" x14ac:dyDescent="0.2">
      <c r="A30" t="s">
        <v>1</v>
      </c>
      <c r="B30">
        <f>IF(O15="x",B15-$Q$12,B15+IF(O15="f",$Q$12,0))</f>
        <v>83</v>
      </c>
      <c r="C30" s="1">
        <f t="shared" ref="C30:E32" si="1">IF(P15="x",C15-$Q$12,C15+IF(P15="f",$Q$12,0))</f>
        <v>17</v>
      </c>
      <c r="D30" s="2">
        <f t="shared" si="1"/>
        <v>0</v>
      </c>
      <c r="E30">
        <f t="shared" si="1"/>
        <v>0</v>
      </c>
      <c r="F30">
        <f>F7</f>
        <v>100</v>
      </c>
      <c r="H30">
        <v>-4</v>
      </c>
      <c r="I30">
        <f>B7-$H30-I$29</f>
        <v>9</v>
      </c>
      <c r="J30">
        <f t="shared" ref="J30:L32" si="2">C7-$H30-J$29</f>
        <v>4</v>
      </c>
      <c r="K30">
        <f t="shared" si="2"/>
        <v>9</v>
      </c>
      <c r="L30">
        <f t="shared" si="2"/>
        <v>6</v>
      </c>
      <c r="N30" t="s">
        <v>1</v>
      </c>
    </row>
    <row r="31" spans="1:17" x14ac:dyDescent="0.2">
      <c r="A31" t="s">
        <v>2</v>
      </c>
      <c r="B31">
        <f>IF(O16="x",B16-$Q$12,B16+IF(O16="f",$Q$12,0))</f>
        <v>200</v>
      </c>
      <c r="C31" s="1">
        <f t="shared" si="1"/>
        <v>-17</v>
      </c>
      <c r="D31" s="1">
        <f t="shared" si="1"/>
        <v>17</v>
      </c>
      <c r="E31" s="2">
        <f t="shared" si="1"/>
        <v>0</v>
      </c>
      <c r="F31">
        <f>F8</f>
        <v>200</v>
      </c>
      <c r="H31">
        <v>6</v>
      </c>
      <c r="I31">
        <f>B8-$H31-I$29</f>
        <v>-4</v>
      </c>
      <c r="J31">
        <f t="shared" si="2"/>
        <v>-3</v>
      </c>
      <c r="K31">
        <f t="shared" si="2"/>
        <v>-4</v>
      </c>
      <c r="L31">
        <f t="shared" si="2"/>
        <v>-3</v>
      </c>
      <c r="N31" t="s">
        <v>2</v>
      </c>
      <c r="P31" t="s">
        <v>23</v>
      </c>
      <c r="Q31" t="s">
        <v>25</v>
      </c>
    </row>
    <row r="32" spans="1:17" x14ac:dyDescent="0.2">
      <c r="A32" t="s">
        <v>3</v>
      </c>
      <c r="B32" s="1">
        <f>IF(O17="x",B17-$Q$12,B17+IF(O17="f",$Q$12,0))</f>
        <v>217</v>
      </c>
      <c r="C32">
        <f t="shared" si="1"/>
        <v>0</v>
      </c>
      <c r="D32" s="1">
        <f t="shared" si="1"/>
        <v>-17</v>
      </c>
      <c r="E32" s="1">
        <f t="shared" si="1"/>
        <v>0</v>
      </c>
      <c r="F32">
        <f>F9</f>
        <v>200</v>
      </c>
      <c r="H32">
        <v>8</v>
      </c>
      <c r="I32">
        <f>B9-$H32-I$29</f>
        <v>-5</v>
      </c>
      <c r="J32">
        <f t="shared" si="2"/>
        <v>-10</v>
      </c>
      <c r="K32">
        <f t="shared" si="2"/>
        <v>-5</v>
      </c>
      <c r="L32">
        <f t="shared" si="2"/>
        <v>-7</v>
      </c>
      <c r="N32" t="s">
        <v>3</v>
      </c>
      <c r="P32" t="s">
        <v>25</v>
      </c>
      <c r="Q32" t="s">
        <v>23</v>
      </c>
    </row>
    <row r="33" spans="1:17" x14ac:dyDescent="0.2">
      <c r="A33" t="s">
        <v>9</v>
      </c>
      <c r="B33">
        <f>B11</f>
        <v>200</v>
      </c>
      <c r="C33">
        <f>C11</f>
        <v>100</v>
      </c>
      <c r="D33">
        <f>D11</f>
        <v>100</v>
      </c>
      <c r="E33">
        <f>E11</f>
        <v>200</v>
      </c>
    </row>
    <row r="34" spans="1:17" x14ac:dyDescent="0.2">
      <c r="H34" t="s">
        <v>20</v>
      </c>
      <c r="I34">
        <v>3.2</v>
      </c>
    </row>
    <row r="35" spans="1:17" x14ac:dyDescent="0.2">
      <c r="A35" t="s">
        <v>17</v>
      </c>
      <c r="C35">
        <f>SUMPRODUCT(B30:E32,$B$7:$E$9)</f>
        <v>1398</v>
      </c>
    </row>
    <row r="41" spans="1:17" x14ac:dyDescent="0.2">
      <c r="A41" t="s">
        <v>26</v>
      </c>
    </row>
    <row r="42" spans="1:17" x14ac:dyDescent="0.2">
      <c r="H42" t="s">
        <v>11</v>
      </c>
      <c r="O42" t="s">
        <v>21</v>
      </c>
      <c r="P42" t="s">
        <v>22</v>
      </c>
      <c r="Q42">
        <v>10</v>
      </c>
    </row>
    <row r="43" spans="1:17" x14ac:dyDescent="0.2">
      <c r="A43" t="s">
        <v>16</v>
      </c>
      <c r="H43" t="s">
        <v>12</v>
      </c>
      <c r="O43" t="s">
        <v>24</v>
      </c>
    </row>
    <row r="44" spans="1:17" x14ac:dyDescent="0.2">
      <c r="B44" t="s">
        <v>4</v>
      </c>
      <c r="C44" t="s">
        <v>5</v>
      </c>
      <c r="D44" t="s">
        <v>6</v>
      </c>
      <c r="E44" t="s">
        <v>7</v>
      </c>
      <c r="F44" t="s">
        <v>8</v>
      </c>
      <c r="H44" t="s">
        <v>13</v>
      </c>
      <c r="I44">
        <v>0</v>
      </c>
      <c r="J44">
        <v>1</v>
      </c>
      <c r="K44">
        <v>-6</v>
      </c>
      <c r="L44">
        <v>0</v>
      </c>
      <c r="O44" t="s">
        <v>4</v>
      </c>
      <c r="P44" t="s">
        <v>5</v>
      </c>
      <c r="Q44" t="s">
        <v>6</v>
      </c>
    </row>
    <row r="45" spans="1:17" x14ac:dyDescent="0.2">
      <c r="A45" t="s">
        <v>1</v>
      </c>
      <c r="B45">
        <f>IF(O30="x",B30-$Q$27,B30+IF(O30="f",$Q$27,0))</f>
        <v>83</v>
      </c>
      <c r="C45" s="1">
        <f t="shared" ref="C45:E47" si="3">IF(P30="x",C30-$Q$27,C30+IF(P30="f",$Q$27,0))</f>
        <v>17</v>
      </c>
      <c r="D45">
        <f t="shared" si="3"/>
        <v>0</v>
      </c>
      <c r="E45">
        <f t="shared" si="3"/>
        <v>0</v>
      </c>
      <c r="F45">
        <f>F7</f>
        <v>100</v>
      </c>
      <c r="H45">
        <v>1</v>
      </c>
      <c r="I45">
        <f>B7-$H45-I$44</f>
        <v>4</v>
      </c>
      <c r="J45">
        <f t="shared" ref="J45:L47" si="4">C7-$H45-J$44</f>
        <v>4</v>
      </c>
      <c r="K45">
        <f t="shared" si="4"/>
        <v>9</v>
      </c>
      <c r="L45">
        <f t="shared" si="4"/>
        <v>1</v>
      </c>
      <c r="N45" t="s">
        <v>1</v>
      </c>
    </row>
    <row r="46" spans="1:17" x14ac:dyDescent="0.2">
      <c r="A46" t="s">
        <v>2</v>
      </c>
      <c r="B46">
        <f>IF(O31="x",B31-$Q$27,B31+IF(O31="f",$Q$27,0))</f>
        <v>200</v>
      </c>
      <c r="C46" s="1">
        <f t="shared" si="3"/>
        <v>-20</v>
      </c>
      <c r="D46" s="1">
        <f t="shared" si="3"/>
        <v>20</v>
      </c>
      <c r="E46">
        <f t="shared" si="3"/>
        <v>0</v>
      </c>
      <c r="F46">
        <f>F8</f>
        <v>200</v>
      </c>
      <c r="H46">
        <v>11</v>
      </c>
      <c r="I46">
        <f>B8-$H46-I$44</f>
        <v>-9</v>
      </c>
      <c r="J46">
        <f t="shared" si="4"/>
        <v>-3</v>
      </c>
      <c r="K46">
        <f t="shared" si="4"/>
        <v>-4</v>
      </c>
      <c r="L46">
        <f>E8-$H46-L$44</f>
        <v>-8</v>
      </c>
      <c r="N46" t="s">
        <v>2</v>
      </c>
      <c r="O46" t="s">
        <v>25</v>
      </c>
      <c r="P46" t="s">
        <v>23</v>
      </c>
    </row>
    <row r="47" spans="1:17" x14ac:dyDescent="0.2">
      <c r="A47" t="s">
        <v>3</v>
      </c>
      <c r="B47" s="1">
        <f>IF(O32="x",B32-$Q$27,B32+IF(O32="f",$Q$27,0))</f>
        <v>217</v>
      </c>
      <c r="C47" s="1">
        <f t="shared" si="3"/>
        <v>3</v>
      </c>
      <c r="D47">
        <f t="shared" si="3"/>
        <v>-20</v>
      </c>
      <c r="E47" s="1">
        <f t="shared" si="3"/>
        <v>0</v>
      </c>
      <c r="F47">
        <f>F9</f>
        <v>200</v>
      </c>
      <c r="H47">
        <v>8</v>
      </c>
      <c r="I47">
        <f>B9-$H47-I$44</f>
        <v>-5</v>
      </c>
      <c r="J47">
        <f t="shared" si="4"/>
        <v>-5</v>
      </c>
      <c r="K47">
        <f t="shared" si="4"/>
        <v>0</v>
      </c>
      <c r="L47">
        <f t="shared" si="4"/>
        <v>-7</v>
      </c>
      <c r="N47" t="s">
        <v>3</v>
      </c>
      <c r="O47" t="s">
        <v>23</v>
      </c>
      <c r="P47" t="s">
        <v>25</v>
      </c>
    </row>
    <row r="48" spans="1:17" x14ac:dyDescent="0.2">
      <c r="A48" t="s">
        <v>9</v>
      </c>
      <c r="B48">
        <f>B11</f>
        <v>200</v>
      </c>
      <c r="C48">
        <f>C11</f>
        <v>100</v>
      </c>
      <c r="D48">
        <f>D11</f>
        <v>100</v>
      </c>
      <c r="E48">
        <f>E11</f>
        <v>200</v>
      </c>
    </row>
    <row r="49" spans="1:17" x14ac:dyDescent="0.2">
      <c r="H49" t="s">
        <v>20</v>
      </c>
      <c r="I49">
        <v>2.1</v>
      </c>
    </row>
    <row r="50" spans="1:17" x14ac:dyDescent="0.2">
      <c r="A50" t="s">
        <v>17</v>
      </c>
      <c r="C50">
        <f>SUMPRODUCT(B45:E47,$B$7:$E$9)</f>
        <v>1380</v>
      </c>
    </row>
    <row r="56" spans="1:17" x14ac:dyDescent="0.2">
      <c r="A56" t="s">
        <v>27</v>
      </c>
    </row>
    <row r="57" spans="1:17" x14ac:dyDescent="0.2">
      <c r="H57" t="s">
        <v>11</v>
      </c>
      <c r="O57" t="s">
        <v>21</v>
      </c>
      <c r="P57" t="s">
        <v>22</v>
      </c>
      <c r="Q57">
        <v>6</v>
      </c>
    </row>
    <row r="58" spans="1:17" x14ac:dyDescent="0.2">
      <c r="A58" t="s">
        <v>16</v>
      </c>
      <c r="H58" t="s">
        <v>12</v>
      </c>
      <c r="O58" t="s">
        <v>24</v>
      </c>
    </row>
    <row r="59" spans="1:17" x14ac:dyDescent="0.2">
      <c r="B59" t="s">
        <v>4</v>
      </c>
      <c r="C59" t="s">
        <v>5</v>
      </c>
      <c r="D59" t="s">
        <v>6</v>
      </c>
      <c r="E59" t="s">
        <v>7</v>
      </c>
      <c r="F59" t="s">
        <v>8</v>
      </c>
      <c r="H59" t="s">
        <v>13</v>
      </c>
      <c r="I59">
        <v>0</v>
      </c>
      <c r="J59">
        <v>1</v>
      </c>
      <c r="K59">
        <v>-2</v>
      </c>
      <c r="L59">
        <v>0</v>
      </c>
      <c r="O59" t="s">
        <v>4</v>
      </c>
      <c r="P59" t="s">
        <v>5</v>
      </c>
      <c r="Q59" t="s">
        <v>6</v>
      </c>
    </row>
    <row r="60" spans="1:17" x14ac:dyDescent="0.2">
      <c r="A60" t="s">
        <v>1</v>
      </c>
      <c r="B60">
        <f>IF(O45="x",B45-$Q$42,B45+IF(O45="f",$Q$42,0))</f>
        <v>83</v>
      </c>
      <c r="C60" s="1">
        <f t="shared" ref="C60:E62" si="5">IF(P45="x",C45-$Q$42,C45+IF(P45="f",$Q$42,0))</f>
        <v>17</v>
      </c>
      <c r="D60">
        <f t="shared" si="5"/>
        <v>0</v>
      </c>
      <c r="E60">
        <f t="shared" si="5"/>
        <v>0</v>
      </c>
      <c r="F60">
        <f>F7</f>
        <v>100</v>
      </c>
      <c r="H60">
        <v>1</v>
      </c>
      <c r="I60">
        <f>B7-$H60-I$59</f>
        <v>4</v>
      </c>
      <c r="J60">
        <f t="shared" ref="J60:L62" si="6">C7-$H60-J$59</f>
        <v>4</v>
      </c>
      <c r="K60">
        <f t="shared" si="6"/>
        <v>5</v>
      </c>
      <c r="L60">
        <f>E7-$H60-L$59</f>
        <v>1</v>
      </c>
      <c r="N60" t="s">
        <v>1</v>
      </c>
      <c r="P60" t="s">
        <v>23</v>
      </c>
    </row>
    <row r="61" spans="1:17" x14ac:dyDescent="0.2">
      <c r="A61" t="s">
        <v>2</v>
      </c>
      <c r="B61" s="1">
        <f>IF(O46="x",B46-$Q$42,B46+IF(O46="f",$Q$42,0))</f>
        <v>210</v>
      </c>
      <c r="C61">
        <f t="shared" si="5"/>
        <v>-30</v>
      </c>
      <c r="D61" s="1">
        <f t="shared" si="5"/>
        <v>20</v>
      </c>
      <c r="E61">
        <f t="shared" si="5"/>
        <v>0</v>
      </c>
      <c r="F61">
        <f>F8</f>
        <v>200</v>
      </c>
      <c r="H61">
        <v>7</v>
      </c>
      <c r="I61">
        <f>B8-$H61-I$59</f>
        <v>-5</v>
      </c>
      <c r="J61">
        <f t="shared" si="6"/>
        <v>1</v>
      </c>
      <c r="K61">
        <f t="shared" si="6"/>
        <v>-4</v>
      </c>
      <c r="L61">
        <f t="shared" si="6"/>
        <v>-4</v>
      </c>
      <c r="N61" t="s">
        <v>2</v>
      </c>
      <c r="P61" t="s">
        <v>25</v>
      </c>
    </row>
    <row r="62" spans="1:17" x14ac:dyDescent="0.2">
      <c r="A62" t="s">
        <v>3</v>
      </c>
      <c r="B62" s="1">
        <f>IF(O47="x",B47-$Q$42,B47+IF(O47="f",$Q$42,0))</f>
        <v>207</v>
      </c>
      <c r="C62" s="1">
        <f t="shared" si="5"/>
        <v>13</v>
      </c>
      <c r="D62">
        <f t="shared" si="5"/>
        <v>-20</v>
      </c>
      <c r="E62" s="1">
        <f t="shared" si="5"/>
        <v>0</v>
      </c>
      <c r="F62">
        <f>F9</f>
        <v>200</v>
      </c>
      <c r="H62">
        <v>8</v>
      </c>
      <c r="I62">
        <f>B9-$H62-I$59</f>
        <v>-5</v>
      </c>
      <c r="J62">
        <f t="shared" si="6"/>
        <v>-5</v>
      </c>
      <c r="K62">
        <f t="shared" si="6"/>
        <v>-4</v>
      </c>
      <c r="L62">
        <f t="shared" si="6"/>
        <v>-7</v>
      </c>
      <c r="N62" t="s">
        <v>3</v>
      </c>
    </row>
    <row r="63" spans="1:17" x14ac:dyDescent="0.2">
      <c r="A63" t="s">
        <v>9</v>
      </c>
      <c r="B63">
        <f>B11</f>
        <v>200</v>
      </c>
      <c r="C63">
        <f>C11</f>
        <v>100</v>
      </c>
      <c r="D63">
        <f>D11</f>
        <v>100</v>
      </c>
      <c r="E63">
        <f>E11</f>
        <v>200</v>
      </c>
    </row>
    <row r="64" spans="1:17" x14ac:dyDescent="0.2">
      <c r="H64" t="s">
        <v>20</v>
      </c>
      <c r="I64">
        <v>2.2000000000000002</v>
      </c>
    </row>
    <row r="65" spans="1:17" x14ac:dyDescent="0.2">
      <c r="A65" t="s">
        <v>17</v>
      </c>
      <c r="C65">
        <f>SUMPRODUCT(B60:E62,$B$7:$E$9)</f>
        <v>1320</v>
      </c>
    </row>
    <row r="71" spans="1:17" x14ac:dyDescent="0.2">
      <c r="A71" t="s">
        <v>28</v>
      </c>
    </row>
    <row r="72" spans="1:17" x14ac:dyDescent="0.2">
      <c r="H72" t="s">
        <v>11</v>
      </c>
      <c r="O72" t="s">
        <v>21</v>
      </c>
      <c r="P72" t="s">
        <v>22</v>
      </c>
      <c r="Q72">
        <v>13</v>
      </c>
    </row>
    <row r="73" spans="1:17" x14ac:dyDescent="0.2">
      <c r="A73" t="s">
        <v>16</v>
      </c>
      <c r="H73" t="s">
        <v>12</v>
      </c>
      <c r="O73" t="s">
        <v>24</v>
      </c>
    </row>
    <row r="74" spans="1:17" x14ac:dyDescent="0.2">
      <c r="B74" t="s">
        <v>4</v>
      </c>
      <c r="C74" t="s">
        <v>5</v>
      </c>
      <c r="D74" t="s">
        <v>6</v>
      </c>
      <c r="E74" t="s">
        <v>7</v>
      </c>
      <c r="F74" t="s">
        <v>8</v>
      </c>
      <c r="H74" t="s">
        <v>13</v>
      </c>
      <c r="I74">
        <v>1</v>
      </c>
      <c r="J74">
        <v>2</v>
      </c>
      <c r="K74">
        <v>1</v>
      </c>
      <c r="L74">
        <v>0</v>
      </c>
      <c r="O74" t="s">
        <v>4</v>
      </c>
      <c r="P74" t="s">
        <v>5</v>
      </c>
      <c r="Q74" t="s">
        <v>6</v>
      </c>
    </row>
    <row r="75" spans="1:17" x14ac:dyDescent="0.2">
      <c r="A75" t="s">
        <v>1</v>
      </c>
      <c r="B75">
        <f>IF(O60="x",B60-$Q$57,B60+IF(O60="f",$Q$57,0))</f>
        <v>83</v>
      </c>
      <c r="C75">
        <f t="shared" ref="C75:E77" si="7">IF(P60="x",C60-$Q$57,C60+IF(P60="f",$Q$57,0))</f>
        <v>11</v>
      </c>
      <c r="D75">
        <f t="shared" si="7"/>
        <v>0</v>
      </c>
      <c r="E75">
        <f t="shared" si="7"/>
        <v>0</v>
      </c>
      <c r="F75">
        <f>F7</f>
        <v>100</v>
      </c>
      <c r="H75">
        <v>2</v>
      </c>
      <c r="I75">
        <f>B7-$H75-I$74</f>
        <v>2</v>
      </c>
      <c r="J75">
        <f t="shared" ref="J75:L77" si="8">C7-$H75-J$74</f>
        <v>2</v>
      </c>
      <c r="K75">
        <f t="shared" si="8"/>
        <v>1</v>
      </c>
      <c r="L75">
        <f t="shared" si="8"/>
        <v>0</v>
      </c>
      <c r="N75" t="s">
        <v>1</v>
      </c>
      <c r="P75" t="s">
        <v>23</v>
      </c>
    </row>
    <row r="76" spans="1:17" x14ac:dyDescent="0.2">
      <c r="A76" t="s">
        <v>2</v>
      </c>
      <c r="B76">
        <f>IF(O61="x",B61-$Q$57,B61+IF(O61="f",$Q$57,0))</f>
        <v>210</v>
      </c>
      <c r="C76">
        <f t="shared" si="7"/>
        <v>-24</v>
      </c>
      <c r="D76">
        <f t="shared" si="7"/>
        <v>20</v>
      </c>
      <c r="E76">
        <f t="shared" si="7"/>
        <v>0</v>
      </c>
      <c r="F76">
        <f>F8</f>
        <v>200</v>
      </c>
      <c r="H76">
        <v>2</v>
      </c>
      <c r="I76">
        <f>B8-$H76-I$74</f>
        <v>-1</v>
      </c>
      <c r="J76">
        <f t="shared" si="8"/>
        <v>5</v>
      </c>
      <c r="K76">
        <f t="shared" si="8"/>
        <v>-2</v>
      </c>
      <c r="L76">
        <f t="shared" si="8"/>
        <v>1</v>
      </c>
      <c r="N76" t="s">
        <v>2</v>
      </c>
      <c r="P76" t="s">
        <v>25</v>
      </c>
    </row>
    <row r="77" spans="1:17" x14ac:dyDescent="0.2">
      <c r="A77" t="s">
        <v>3</v>
      </c>
      <c r="B77">
        <f>IF(O62="x",B62-$Q$57,B62+IF(O62="f",$Q$57,0))</f>
        <v>207</v>
      </c>
      <c r="C77">
        <f t="shared" si="7"/>
        <v>13</v>
      </c>
      <c r="D77">
        <f t="shared" si="7"/>
        <v>-20</v>
      </c>
      <c r="E77">
        <f t="shared" si="7"/>
        <v>0</v>
      </c>
      <c r="F77">
        <f>F9</f>
        <v>200</v>
      </c>
      <c r="H77">
        <v>1</v>
      </c>
      <c r="I77">
        <f>B9-$H77-I$74</f>
        <v>1</v>
      </c>
      <c r="J77">
        <f t="shared" si="8"/>
        <v>1</v>
      </c>
      <c r="K77">
        <f t="shared" si="8"/>
        <v>0</v>
      </c>
      <c r="L77">
        <f t="shared" si="8"/>
        <v>0</v>
      </c>
      <c r="N77" t="s">
        <v>3</v>
      </c>
    </row>
    <row r="78" spans="1:17" x14ac:dyDescent="0.2">
      <c r="A78" t="s">
        <v>9</v>
      </c>
      <c r="B78">
        <f>B11</f>
        <v>200</v>
      </c>
      <c r="C78">
        <f>C11</f>
        <v>100</v>
      </c>
      <c r="D78">
        <f>D11</f>
        <v>100</v>
      </c>
      <c r="E78">
        <f>E11</f>
        <v>200</v>
      </c>
    </row>
    <row r="80" spans="1:17" x14ac:dyDescent="0.2">
      <c r="A80" t="s">
        <v>17</v>
      </c>
      <c r="C80">
        <f>SUMPRODUCT(B75:E77,$B$7:$E$9)</f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Ark1</vt:lpstr>
      <vt:lpstr>Ark2</vt:lpstr>
      <vt:lpstr>Ark4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Bue</dc:creator>
  <cp:lastModifiedBy>Jacob Bue Andersen</cp:lastModifiedBy>
  <dcterms:created xsi:type="dcterms:W3CDTF">2023-11-16T07:13:45Z</dcterms:created>
  <dcterms:modified xsi:type="dcterms:W3CDTF">2025-01-12T10:28:14Z</dcterms:modified>
</cp:coreProperties>
</file>