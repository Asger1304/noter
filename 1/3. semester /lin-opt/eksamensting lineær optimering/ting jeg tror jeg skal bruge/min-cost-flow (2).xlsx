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18324_uni_au_dk/Documents/Skrivebord/Linear optimization/Opgave typer/"/>
    </mc:Choice>
  </mc:AlternateContent>
  <xr:revisionPtr revIDLastSave="0" documentId="8_{C9EF4651-A004-403D-A4CB-CB0F4108F067}" xr6:coauthVersionLast="47" xr6:coauthVersionMax="47" xr10:uidLastSave="{00000000-0000-0000-0000-000000000000}"/>
  <bookViews>
    <workbookView xWindow="-110" yWindow="-110" windowWidth="19420" windowHeight="11500" activeTab="1" xr2:uid="{5E4F66A9-5AAB-4379-AAF0-2C0E6E919E0A}"/>
  </bookViews>
  <sheets>
    <sheet name="Ark1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2" l="1"/>
  <c r="Q17" i="2"/>
  <c r="Q16" i="2"/>
  <c r="Q15" i="2"/>
  <c r="Q14" i="2"/>
  <c r="P14" i="2" s="1"/>
  <c r="F18" i="2"/>
  <c r="E18" i="2"/>
  <c r="D18" i="2"/>
  <c r="C18" i="2"/>
  <c r="B18" i="2"/>
  <c r="E17" i="2"/>
  <c r="D17" i="2"/>
  <c r="C17" i="2"/>
  <c r="B17" i="2"/>
  <c r="F16" i="2"/>
  <c r="E31" i="2"/>
  <c r="E46" i="2" s="1"/>
  <c r="D16" i="2"/>
  <c r="C16" i="2"/>
  <c r="B16" i="2"/>
  <c r="I16" i="2" s="1"/>
  <c r="F15" i="2"/>
  <c r="E15" i="2"/>
  <c r="D30" i="2"/>
  <c r="D45" i="2" s="1"/>
  <c r="C15" i="2"/>
  <c r="B15" i="2"/>
  <c r="E14" i="2"/>
  <c r="D14" i="2"/>
  <c r="C14" i="2"/>
  <c r="I14" i="2" s="1"/>
  <c r="B22" i="2" s="1"/>
  <c r="B14" i="2"/>
  <c r="E44" i="2"/>
  <c r="C45" i="2"/>
  <c r="F45" i="2"/>
  <c r="C46" i="2"/>
  <c r="D46" i="2"/>
  <c r="C47" i="2"/>
  <c r="D47" i="2"/>
  <c r="E47" i="2"/>
  <c r="C48" i="2"/>
  <c r="D48" i="2"/>
  <c r="E48" i="2"/>
  <c r="F48" i="2"/>
  <c r="B45" i="2"/>
  <c r="B46" i="2"/>
  <c r="B47" i="2"/>
  <c r="B48" i="2"/>
  <c r="B44" i="2"/>
  <c r="Q33" i="2"/>
  <c r="Q32" i="2"/>
  <c r="Q31" i="2"/>
  <c r="P31" i="2" s="1"/>
  <c r="Q30" i="2"/>
  <c r="Q29" i="2"/>
  <c r="O29" i="2" s="1"/>
  <c r="M29" i="2"/>
  <c r="N29" i="2"/>
  <c r="P29" i="2"/>
  <c r="M30" i="2"/>
  <c r="N30" i="2"/>
  <c r="O30" i="2"/>
  <c r="P30" i="2"/>
  <c r="M31" i="2"/>
  <c r="N31" i="2"/>
  <c r="O31" i="2"/>
  <c r="M32" i="2"/>
  <c r="N32" i="2"/>
  <c r="O32" i="2"/>
  <c r="P32" i="2"/>
  <c r="M33" i="2"/>
  <c r="N33" i="2"/>
  <c r="O33" i="2"/>
  <c r="P33" i="2"/>
  <c r="L30" i="2"/>
  <c r="L31" i="2"/>
  <c r="L32" i="2"/>
  <c r="L33" i="2"/>
  <c r="L29" i="2"/>
  <c r="P49" i="2"/>
  <c r="O49" i="2"/>
  <c r="N49" i="2"/>
  <c r="M49" i="2"/>
  <c r="L49" i="2"/>
  <c r="P47" i="2"/>
  <c r="O47" i="2"/>
  <c r="N47" i="2"/>
  <c r="M47" i="2"/>
  <c r="L47" i="2"/>
  <c r="P46" i="2"/>
  <c r="O46" i="2"/>
  <c r="N46" i="2"/>
  <c r="M46" i="2"/>
  <c r="L46" i="2"/>
  <c r="P45" i="2"/>
  <c r="O45" i="2"/>
  <c r="N45" i="2"/>
  <c r="M45" i="2"/>
  <c r="L45" i="2"/>
  <c r="P44" i="2"/>
  <c r="O44" i="2"/>
  <c r="N44" i="2"/>
  <c r="L44" i="2"/>
  <c r="C29" i="2"/>
  <c r="C44" i="2" s="1"/>
  <c r="E29" i="2"/>
  <c r="C30" i="2"/>
  <c r="F30" i="2"/>
  <c r="C31" i="2"/>
  <c r="D31" i="2"/>
  <c r="F31" i="2"/>
  <c r="F46" i="2" s="1"/>
  <c r="C32" i="2"/>
  <c r="D32" i="2"/>
  <c r="E32" i="2"/>
  <c r="C33" i="2"/>
  <c r="M44" i="2" s="1"/>
  <c r="D33" i="2"/>
  <c r="E33" i="2"/>
  <c r="F33" i="2"/>
  <c r="B32" i="2"/>
  <c r="B33" i="2"/>
  <c r="B29" i="2"/>
  <c r="B30" i="2"/>
  <c r="B31" i="2"/>
  <c r="L18" i="2"/>
  <c r="L16" i="2"/>
  <c r="M15" i="2"/>
  <c r="N15" i="2"/>
  <c r="O15" i="2"/>
  <c r="M16" i="2"/>
  <c r="N16" i="2"/>
  <c r="M17" i="2"/>
  <c r="N17" i="2"/>
  <c r="O17" i="2"/>
  <c r="P17" i="2"/>
  <c r="M18" i="2"/>
  <c r="N18" i="2"/>
  <c r="P18" i="2"/>
  <c r="L15" i="2"/>
  <c r="L17" i="2"/>
  <c r="P15" i="2"/>
  <c r="O14" i="2"/>
  <c r="L14" i="2"/>
  <c r="M14" i="2"/>
  <c r="I17" i="2"/>
  <c r="I18" i="2"/>
  <c r="F32" i="2"/>
  <c r="F47" i="2" s="1"/>
  <c r="I47" i="2" s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C17" i="1"/>
  <c r="D17" i="1"/>
  <c r="E17" i="1"/>
  <c r="F17" i="1"/>
  <c r="B17" i="1"/>
  <c r="I18" i="1"/>
  <c r="I19" i="1"/>
  <c r="I20" i="1"/>
  <c r="I21" i="1"/>
  <c r="I17" i="1"/>
  <c r="L18" i="1"/>
  <c r="M18" i="1"/>
  <c r="N18" i="1"/>
  <c r="O18" i="1"/>
  <c r="L19" i="1"/>
  <c r="M19" i="1"/>
  <c r="N19" i="1"/>
  <c r="O19" i="1"/>
  <c r="M17" i="1"/>
  <c r="N17" i="1"/>
  <c r="O17" i="1"/>
  <c r="L17" i="1"/>
  <c r="N14" i="2" l="1"/>
  <c r="F22" i="2"/>
  <c r="I48" i="2"/>
  <c r="I32" i="2"/>
  <c r="E22" i="2"/>
  <c r="E30" i="2"/>
  <c r="E45" i="2" s="1"/>
  <c r="E52" i="2" s="1"/>
  <c r="I15" i="2"/>
  <c r="C22" i="2" s="1"/>
  <c r="I45" i="2"/>
  <c r="F29" i="2"/>
  <c r="F44" i="2" s="1"/>
  <c r="F52" i="2" s="1"/>
  <c r="D22" i="2"/>
  <c r="C23" i="2"/>
  <c r="D29" i="2"/>
  <c r="C52" i="2"/>
  <c r="I46" i="2"/>
  <c r="I31" i="2"/>
  <c r="I33" i="2"/>
  <c r="O16" i="2"/>
  <c r="O18" i="2"/>
  <c r="P16" i="2"/>
  <c r="E37" i="2" l="1"/>
  <c r="O48" i="2" s="1"/>
  <c r="D37" i="2"/>
  <c r="N48" i="2" s="1"/>
  <c r="I30" i="2"/>
  <c r="C37" i="2" s="1"/>
  <c r="M48" i="2" s="1"/>
  <c r="F37" i="2"/>
  <c r="P48" i="2" s="1"/>
  <c r="C38" i="2"/>
  <c r="D44" i="2"/>
  <c r="I29" i="2"/>
  <c r="B37" i="2" s="1"/>
  <c r="L48" i="2" s="1"/>
  <c r="C53" i="2" l="1"/>
  <c r="I44" i="2"/>
  <c r="B52" i="2" s="1"/>
  <c r="D52" i="2"/>
  <c r="C29" i="1" l="1"/>
</calcChain>
</file>

<file path=xl/sharedStrings.xml><?xml version="1.0" encoding="utf-8"?>
<sst xmlns="http://schemas.openxmlformats.org/spreadsheetml/2006/main" count="58" uniqueCount="20">
  <si>
    <t>Omkostninger</t>
  </si>
  <si>
    <t xml:space="preserve">Reducerede omkostninger </t>
  </si>
  <si>
    <t>Basis løsning</t>
  </si>
  <si>
    <t>duale variable</t>
  </si>
  <si>
    <t>Udbud</t>
  </si>
  <si>
    <t>u\v</t>
  </si>
  <si>
    <t>Objektværdi</t>
  </si>
  <si>
    <t>udbud</t>
  </si>
  <si>
    <t>basis</t>
  </si>
  <si>
    <t>I alt</t>
  </si>
  <si>
    <t>i\j</t>
  </si>
  <si>
    <t>y_i</t>
  </si>
  <si>
    <t>y_j</t>
  </si>
  <si>
    <t>Ændring</t>
  </si>
  <si>
    <t>delta</t>
  </si>
  <si>
    <t>Backwardskanter</t>
  </si>
  <si>
    <t>x</t>
  </si>
  <si>
    <t>f</t>
  </si>
  <si>
    <t>In di base</t>
  </si>
  <si>
    <t>ind i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</si>
</sst>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58AA-6D03-4A67-9354-C6EC7D8B4EF4}">
  <dimension ref="A4:P29"/>
  <sheetViews>
    <sheetView topLeftCell="A3" zoomScale="57" workbookViewId="0">
      <selection activeCell="A16" sqref="A16:F21"/>
    </sheetView>
  </sheetViews>
  <sheetFormatPr defaultRowHeight="14.5" x14ac:dyDescent="0.35"/>
  <sheetData>
    <row r="4" spans="1:16" x14ac:dyDescent="0.35">
      <c r="A4" t="s">
        <v>0</v>
      </c>
      <c r="K4" t="s">
        <v>8</v>
      </c>
    </row>
    <row r="5" spans="1:16" x14ac:dyDescent="0.35">
      <c r="B5">
        <v>1</v>
      </c>
      <c r="C5">
        <v>2</v>
      </c>
      <c r="D5">
        <v>3</v>
      </c>
      <c r="E5">
        <v>4</v>
      </c>
      <c r="F5">
        <v>5</v>
      </c>
      <c r="I5" t="s">
        <v>7</v>
      </c>
      <c r="L5">
        <v>1</v>
      </c>
      <c r="M5">
        <v>2</v>
      </c>
      <c r="N5">
        <v>3</v>
      </c>
      <c r="O5">
        <v>4</v>
      </c>
      <c r="P5">
        <v>5</v>
      </c>
    </row>
    <row r="6" spans="1:16" x14ac:dyDescent="0.35">
      <c r="A6">
        <v>1</v>
      </c>
      <c r="C6">
        <v>2</v>
      </c>
      <c r="E6">
        <v>9</v>
      </c>
      <c r="I6">
        <v>8</v>
      </c>
      <c r="K6">
        <v>1</v>
      </c>
      <c r="M6">
        <v>2</v>
      </c>
      <c r="O6">
        <v>7</v>
      </c>
    </row>
    <row r="7" spans="1:16" x14ac:dyDescent="0.35">
      <c r="A7">
        <v>2</v>
      </c>
      <c r="D7">
        <v>1</v>
      </c>
      <c r="F7">
        <v>4</v>
      </c>
      <c r="I7">
        <v>-2</v>
      </c>
      <c r="K7">
        <v>2</v>
      </c>
    </row>
    <row r="8" spans="1:16" x14ac:dyDescent="0.35">
      <c r="A8">
        <v>3</v>
      </c>
      <c r="B8">
        <v>6</v>
      </c>
      <c r="E8">
        <v>8</v>
      </c>
      <c r="F8">
        <v>5</v>
      </c>
      <c r="I8">
        <v>5</v>
      </c>
      <c r="K8">
        <v>3</v>
      </c>
      <c r="L8">
        <v>1</v>
      </c>
      <c r="P8">
        <v>4</v>
      </c>
    </row>
    <row r="9" spans="1:16" x14ac:dyDescent="0.35">
      <c r="A9">
        <v>4</v>
      </c>
      <c r="I9">
        <v>-7</v>
      </c>
      <c r="K9">
        <v>4</v>
      </c>
    </row>
    <row r="10" spans="1:16" x14ac:dyDescent="0.35">
      <c r="A10">
        <v>5</v>
      </c>
      <c r="B10">
        <v>-7</v>
      </c>
      <c r="E10">
        <v>3</v>
      </c>
      <c r="I10">
        <v>-4</v>
      </c>
      <c r="K10">
        <v>5</v>
      </c>
    </row>
    <row r="14" spans="1:16" x14ac:dyDescent="0.35">
      <c r="K14" t="s">
        <v>1</v>
      </c>
    </row>
    <row r="15" spans="1:16" x14ac:dyDescent="0.35">
      <c r="A15" t="s">
        <v>2</v>
      </c>
      <c r="K15" t="s">
        <v>3</v>
      </c>
    </row>
    <row r="16" spans="1:16" x14ac:dyDescent="0.35">
      <c r="B16">
        <v>1</v>
      </c>
      <c r="C16">
        <v>2</v>
      </c>
      <c r="D16">
        <v>3</v>
      </c>
      <c r="E16">
        <v>4</v>
      </c>
      <c r="F16">
        <v>5</v>
      </c>
      <c r="I16" t="s">
        <v>4</v>
      </c>
      <c r="K16" t="s">
        <v>5</v>
      </c>
      <c r="L16">
        <v>2</v>
      </c>
      <c r="M16">
        <v>1</v>
      </c>
      <c r="N16">
        <v>0</v>
      </c>
      <c r="O16">
        <v>0</v>
      </c>
    </row>
    <row r="17" spans="1:15" x14ac:dyDescent="0.35">
      <c r="A17">
        <v>1</v>
      </c>
      <c r="B17" s="1" t="str">
        <f>IF(ISBLANK(B6)," ",0)</f>
        <v xml:space="preserve"> </v>
      </c>
      <c r="C17" s="1">
        <f t="shared" ref="C17:F17" si="0">IF(ISBLANK(C6)," ",0)</f>
        <v>0</v>
      </c>
      <c r="D17" s="1" t="str">
        <f t="shared" si="0"/>
        <v xml:space="preserve"> </v>
      </c>
      <c r="E17" s="1">
        <f t="shared" si="0"/>
        <v>0</v>
      </c>
      <c r="F17" s="1" t="str">
        <f t="shared" si="0"/>
        <v xml:space="preserve"> </v>
      </c>
      <c r="I17">
        <f>I6</f>
        <v>8</v>
      </c>
      <c r="K17">
        <v>3</v>
      </c>
      <c r="L17">
        <f>B6-$K17-L$16</f>
        <v>-5</v>
      </c>
      <c r="M17">
        <f>C6-$K17-M$16</f>
        <v>-2</v>
      </c>
      <c r="N17">
        <f>D6-$K17-N$16</f>
        <v>-3</v>
      </c>
      <c r="O17">
        <f>E6-$K17-O$16</f>
        <v>6</v>
      </c>
    </row>
    <row r="18" spans="1:15" x14ac:dyDescent="0.35">
      <c r="A18">
        <v>2</v>
      </c>
      <c r="B18" s="1" t="str">
        <f t="shared" ref="B18:F18" si="1">IF(ISBLANK(B7)," ",0)</f>
        <v xml:space="preserve"> </v>
      </c>
      <c r="C18" s="1" t="str">
        <f t="shared" si="1"/>
        <v xml:space="preserve"> </v>
      </c>
      <c r="D18" s="1">
        <f t="shared" si="1"/>
        <v>0</v>
      </c>
      <c r="E18" s="1" t="str">
        <f t="shared" si="1"/>
        <v xml:space="preserve"> </v>
      </c>
      <c r="F18" s="1">
        <f t="shared" si="1"/>
        <v>0</v>
      </c>
      <c r="I18">
        <f t="shared" ref="I18:I21" si="2">I7</f>
        <v>-2</v>
      </c>
      <c r="K18">
        <v>5</v>
      </c>
      <c r="L18">
        <f>B7-$K18-L$16</f>
        <v>-7</v>
      </c>
      <c r="M18">
        <f>C7-$K18-M$16</f>
        <v>-6</v>
      </c>
      <c r="N18">
        <f>D7-$K18-N$16</f>
        <v>-4</v>
      </c>
      <c r="O18">
        <f>E7-$K18-O$16</f>
        <v>-5</v>
      </c>
    </row>
    <row r="19" spans="1:15" x14ac:dyDescent="0.35">
      <c r="A19">
        <v>3</v>
      </c>
      <c r="B19" s="1">
        <f t="shared" ref="B19:F19" si="3">IF(ISBLANK(B8)," ",0)</f>
        <v>0</v>
      </c>
      <c r="C19" s="1" t="str">
        <f t="shared" si="3"/>
        <v xml:space="preserve"> </v>
      </c>
      <c r="D19" s="1" t="str">
        <f t="shared" si="3"/>
        <v xml:space="preserve"> </v>
      </c>
      <c r="E19" s="1">
        <f t="shared" si="3"/>
        <v>0</v>
      </c>
      <c r="F19" s="1">
        <f t="shared" si="3"/>
        <v>0</v>
      </c>
      <c r="I19">
        <f t="shared" si="2"/>
        <v>5</v>
      </c>
      <c r="K19">
        <v>6</v>
      </c>
      <c r="L19">
        <f>B8-$K19-L$16</f>
        <v>-2</v>
      </c>
      <c r="M19">
        <f>C8-$K19-M$16</f>
        <v>-7</v>
      </c>
      <c r="N19">
        <f>D8-$K19-N$16</f>
        <v>-6</v>
      </c>
      <c r="O19">
        <f>E8-$K19-O$16</f>
        <v>2</v>
      </c>
    </row>
    <row r="20" spans="1:15" x14ac:dyDescent="0.35">
      <c r="A20">
        <v>4</v>
      </c>
      <c r="B20" s="1" t="str">
        <f t="shared" ref="B20:F20" si="4">IF(ISBLANK(B9)," ",0)</f>
        <v xml:space="preserve"> </v>
      </c>
      <c r="C20" s="1" t="str">
        <f t="shared" si="4"/>
        <v xml:space="preserve"> </v>
      </c>
      <c r="D20" s="1" t="str">
        <f t="shared" si="4"/>
        <v xml:space="preserve"> </v>
      </c>
      <c r="E20" s="1" t="str">
        <f t="shared" si="4"/>
        <v xml:space="preserve"> </v>
      </c>
      <c r="F20" s="1" t="str">
        <f t="shared" si="4"/>
        <v xml:space="preserve"> </v>
      </c>
      <c r="I20">
        <f t="shared" si="2"/>
        <v>-7</v>
      </c>
    </row>
    <row r="21" spans="1:15" x14ac:dyDescent="0.35">
      <c r="A21">
        <v>5</v>
      </c>
      <c r="B21" s="1">
        <f t="shared" ref="B21:F21" si="5">IF(ISBLANK(B10)," ",0)</f>
        <v>0</v>
      </c>
      <c r="C21" s="1" t="str">
        <f t="shared" si="5"/>
        <v xml:space="preserve"> </v>
      </c>
      <c r="D21" s="1" t="str">
        <f t="shared" si="5"/>
        <v xml:space="preserve"> </v>
      </c>
      <c r="E21" s="1">
        <f t="shared" si="5"/>
        <v>0</v>
      </c>
      <c r="F21" s="1" t="str">
        <f t="shared" si="5"/>
        <v xml:space="preserve"> </v>
      </c>
      <c r="I21">
        <f t="shared" si="2"/>
        <v>-4</v>
      </c>
    </row>
    <row r="29" spans="1:15" x14ac:dyDescent="0.35">
      <c r="A29" t="s">
        <v>6</v>
      </c>
      <c r="C29">
        <f>SUMPRODUCT(B17:E19,$B$7:$E$9)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CA86-087C-4353-9382-E20353248A90}">
  <dimension ref="A1:X53"/>
  <sheetViews>
    <sheetView tabSelected="1" zoomScale="44" zoomScaleNormal="85" workbookViewId="0">
      <selection activeCell="Q19" sqref="Q19"/>
    </sheetView>
  </sheetViews>
  <sheetFormatPr defaultRowHeight="14.5" x14ac:dyDescent="0.35"/>
  <sheetData>
    <row r="1" spans="1:24" x14ac:dyDescent="0.35">
      <c r="A1" t="s">
        <v>0</v>
      </c>
    </row>
    <row r="2" spans="1:24" x14ac:dyDescent="0.35">
      <c r="B2">
        <v>1</v>
      </c>
      <c r="C2">
        <v>2</v>
      </c>
      <c r="D2">
        <v>3</v>
      </c>
      <c r="E2">
        <v>4</v>
      </c>
      <c r="F2">
        <v>5</v>
      </c>
      <c r="I2" t="s">
        <v>7</v>
      </c>
    </row>
    <row r="3" spans="1:24" x14ac:dyDescent="0.35">
      <c r="A3">
        <v>1</v>
      </c>
      <c r="C3">
        <v>3</v>
      </c>
      <c r="D3">
        <v>2</v>
      </c>
      <c r="F3">
        <v>3</v>
      </c>
      <c r="I3">
        <v>3</v>
      </c>
    </row>
    <row r="4" spans="1:24" x14ac:dyDescent="0.35">
      <c r="A4">
        <v>2</v>
      </c>
      <c r="D4">
        <v>7</v>
      </c>
      <c r="E4">
        <v>14</v>
      </c>
      <c r="I4">
        <v>6</v>
      </c>
    </row>
    <row r="5" spans="1:24" x14ac:dyDescent="0.35">
      <c r="A5">
        <v>3</v>
      </c>
      <c r="E5">
        <v>18</v>
      </c>
      <c r="F5">
        <v>4</v>
      </c>
      <c r="I5">
        <v>2</v>
      </c>
    </row>
    <row r="6" spans="1:24" x14ac:dyDescent="0.35">
      <c r="A6">
        <v>4</v>
      </c>
      <c r="F6">
        <v>9</v>
      </c>
      <c r="I6">
        <v>-6</v>
      </c>
    </row>
    <row r="7" spans="1:24" x14ac:dyDescent="0.35">
      <c r="A7">
        <v>5</v>
      </c>
      <c r="I7">
        <v>-5</v>
      </c>
    </row>
    <row r="11" spans="1:24" x14ac:dyDescent="0.35">
      <c r="K11" t="s">
        <v>1</v>
      </c>
      <c r="T11" t="s">
        <v>13</v>
      </c>
      <c r="U11" t="s">
        <v>14</v>
      </c>
      <c r="V11">
        <v>1</v>
      </c>
    </row>
    <row r="12" spans="1:24" x14ac:dyDescent="0.35">
      <c r="A12" t="s">
        <v>2</v>
      </c>
      <c r="K12" t="s">
        <v>3</v>
      </c>
      <c r="T12" t="s">
        <v>15</v>
      </c>
    </row>
    <row r="13" spans="1:24" x14ac:dyDescent="0.35">
      <c r="B13">
        <v>1</v>
      </c>
      <c r="C13">
        <v>2</v>
      </c>
      <c r="D13">
        <v>3</v>
      </c>
      <c r="E13">
        <v>4</v>
      </c>
      <c r="F13">
        <v>5</v>
      </c>
      <c r="I13" t="s">
        <v>4</v>
      </c>
      <c r="K13" t="s">
        <v>10</v>
      </c>
      <c r="L13">
        <v>1</v>
      </c>
      <c r="M13">
        <v>2</v>
      </c>
      <c r="N13">
        <v>3</v>
      </c>
      <c r="O13">
        <v>4</v>
      </c>
      <c r="P13">
        <v>5</v>
      </c>
      <c r="Q13" t="s">
        <v>11</v>
      </c>
      <c r="T13">
        <v>1</v>
      </c>
      <c r="U13">
        <v>2</v>
      </c>
      <c r="V13">
        <v>3</v>
      </c>
      <c r="W13">
        <v>4</v>
      </c>
      <c r="X13">
        <v>5</v>
      </c>
    </row>
    <row r="14" spans="1:24" x14ac:dyDescent="0.35">
      <c r="A14">
        <v>1</v>
      </c>
      <c r="B14" s="1" t="str">
        <f>IF(ISBLANK(B3)," ",0)</f>
        <v xml:space="preserve"> </v>
      </c>
      <c r="C14" s="1">
        <f t="shared" ref="C14:F14" si="0">IF(ISBLANK(C3)," ",0)</f>
        <v>0</v>
      </c>
      <c r="D14" s="1">
        <f t="shared" si="0"/>
        <v>0</v>
      </c>
      <c r="E14" s="1" t="str">
        <f t="shared" si="0"/>
        <v xml:space="preserve"> </v>
      </c>
      <c r="F14" s="1">
        <v>3</v>
      </c>
      <c r="I14">
        <f>SUM(B14:H14)</f>
        <v>3</v>
      </c>
      <c r="K14">
        <v>1</v>
      </c>
      <c r="L14" t="str">
        <f>IF(ISBLANK(B3)," ",B3-($Q14-L$19))</f>
        <v xml:space="preserve"> </v>
      </c>
      <c r="M14">
        <f>IF(ISBLANK(C3)," ",C3-($Q14-M$19))</f>
        <v>34</v>
      </c>
      <c r="N14">
        <f>IF(ISBLANK(D3)," ",D3-($Q14-N$19))</f>
        <v>26</v>
      </c>
      <c r="O14" t="str">
        <f>IF(ISBLANK(E3)," ",E3-($Q14-O$19))</f>
        <v xml:space="preserve"> </v>
      </c>
      <c r="P14">
        <f>IF(ISBLANK(F3)," ",F3-($Q14-P$19))</f>
        <v>0</v>
      </c>
      <c r="Q14">
        <f>L19</f>
        <v>3</v>
      </c>
      <c r="S14">
        <v>1</v>
      </c>
    </row>
    <row r="15" spans="1:24" x14ac:dyDescent="0.35">
      <c r="A15">
        <v>2</v>
      </c>
      <c r="B15" s="1" t="str">
        <f t="shared" ref="B15:F18" si="1">IF(ISBLANK(B4)," ",0)</f>
        <v xml:space="preserve"> </v>
      </c>
      <c r="C15" s="1" t="str">
        <f t="shared" si="1"/>
        <v xml:space="preserve"> </v>
      </c>
      <c r="D15" s="1">
        <v>6</v>
      </c>
      <c r="E15" s="1">
        <f t="shared" si="1"/>
        <v>0</v>
      </c>
      <c r="F15" s="1" t="str">
        <f t="shared" si="1"/>
        <v xml:space="preserve"> </v>
      </c>
      <c r="I15">
        <f t="shared" ref="I15:I18" si="2">SUM(B15:H15)</f>
        <v>6</v>
      </c>
      <c r="K15">
        <v>2</v>
      </c>
      <c r="L15" t="str">
        <f>IF(ISBLANK(B4)," ",B4-($Q15-L$19))</f>
        <v xml:space="preserve"> </v>
      </c>
      <c r="M15" t="str">
        <f>IF(ISBLANK(C4)," ",C4-($Q15-M$19))</f>
        <v xml:space="preserve"> </v>
      </c>
      <c r="N15">
        <f>IF(ISBLANK(D4)," ",D4-($Q15-N$19))</f>
        <v>0</v>
      </c>
      <c r="O15">
        <f>IF(ISBLANK(E4)," ",E4-($Q15-O$19))</f>
        <v>-11</v>
      </c>
      <c r="P15" t="str">
        <f>IF(ISBLANK(F4)," ",F4-($Q15-P$19))</f>
        <v xml:space="preserve"> </v>
      </c>
      <c r="Q15">
        <f>M19</f>
        <v>34</v>
      </c>
      <c r="S15">
        <v>2</v>
      </c>
    </row>
    <row r="16" spans="1:24" x14ac:dyDescent="0.35">
      <c r="A16">
        <v>3</v>
      </c>
      <c r="B16" s="1" t="str">
        <f t="shared" si="1"/>
        <v xml:space="preserve"> </v>
      </c>
      <c r="C16" s="1" t="str">
        <f t="shared" si="1"/>
        <v xml:space="preserve"> </v>
      </c>
      <c r="D16" s="1" t="str">
        <f t="shared" si="1"/>
        <v xml:space="preserve"> </v>
      </c>
      <c r="E16" s="1">
        <v>8</v>
      </c>
      <c r="F16" s="1">
        <f t="shared" si="1"/>
        <v>0</v>
      </c>
      <c r="I16">
        <f t="shared" si="2"/>
        <v>8</v>
      </c>
      <c r="K16">
        <v>3</v>
      </c>
      <c r="L16" t="str">
        <f>IF(ISBLANK(B5)," ",B5-($Q16-L$19))</f>
        <v xml:space="preserve"> </v>
      </c>
      <c r="M16" t="str">
        <f>IF(ISBLANK(C5)," ",C5-($Q16-M$19))</f>
        <v xml:space="preserve"> </v>
      </c>
      <c r="N16" t="str">
        <f>IF(ISBLANK(D5)," ",D5-($Q16-N$19))</f>
        <v xml:space="preserve"> </v>
      </c>
      <c r="O16">
        <f>IF(ISBLANK(E5)," ",E5-($Q16-O$19))</f>
        <v>0</v>
      </c>
      <c r="P16">
        <f>IF(ISBLANK(F5)," ",F5-($Q16-P$19))</f>
        <v>-23</v>
      </c>
      <c r="Q16">
        <f>N19</f>
        <v>27</v>
      </c>
      <c r="S16">
        <v>3</v>
      </c>
      <c r="T16" t="s">
        <v>16</v>
      </c>
      <c r="X16" t="s">
        <v>17</v>
      </c>
    </row>
    <row r="17" spans="1:24" x14ac:dyDescent="0.35">
      <c r="A17">
        <v>4</v>
      </c>
      <c r="B17" s="1" t="str">
        <f t="shared" si="1"/>
        <v xml:space="preserve"> </v>
      </c>
      <c r="C17" s="1" t="str">
        <f t="shared" si="1"/>
        <v xml:space="preserve"> </v>
      </c>
      <c r="D17" s="1" t="str">
        <f t="shared" si="1"/>
        <v xml:space="preserve"> </v>
      </c>
      <c r="E17" s="1" t="str">
        <f t="shared" si="1"/>
        <v xml:space="preserve"> </v>
      </c>
      <c r="F17" s="1">
        <v>2</v>
      </c>
      <c r="I17">
        <f t="shared" si="2"/>
        <v>2</v>
      </c>
      <c r="K17">
        <v>4</v>
      </c>
      <c r="L17" t="str">
        <f>IF(ISBLANK(B6)," ",B6-($Q17-L$19))</f>
        <v xml:space="preserve"> </v>
      </c>
      <c r="M17" t="str">
        <f>IF(ISBLANK(C6)," ",C6-($Q17-M$19))</f>
        <v xml:space="preserve"> </v>
      </c>
      <c r="N17" t="str">
        <f>IF(ISBLANK(D6)," ",D6-($Q17-N$19))</f>
        <v xml:space="preserve"> </v>
      </c>
      <c r="O17" t="str">
        <f>IF(ISBLANK(E6)," ",E6-($Q17-O$19))</f>
        <v xml:space="preserve"> </v>
      </c>
      <c r="P17">
        <f>IF(ISBLANK(F6)," ",F6-($Q17-P$19))</f>
        <v>0</v>
      </c>
      <c r="Q17">
        <f>O19</f>
        <v>9</v>
      </c>
      <c r="S17">
        <v>4</v>
      </c>
    </row>
    <row r="18" spans="1:24" x14ac:dyDescent="0.35">
      <c r="A18">
        <v>5</v>
      </c>
      <c r="B18" s="1" t="str">
        <f t="shared" si="1"/>
        <v xml:space="preserve"> </v>
      </c>
      <c r="C18" s="1" t="str">
        <f t="shared" si="1"/>
        <v xml:space="preserve"> </v>
      </c>
      <c r="D18" s="1" t="str">
        <f t="shared" si="1"/>
        <v xml:space="preserve"> </v>
      </c>
      <c r="E18" s="1" t="str">
        <f t="shared" si="1"/>
        <v xml:space="preserve"> </v>
      </c>
      <c r="F18" s="1" t="str">
        <f t="shared" si="1"/>
        <v xml:space="preserve"> </v>
      </c>
      <c r="I18">
        <f t="shared" si="2"/>
        <v>0</v>
      </c>
      <c r="K18">
        <v>5</v>
      </c>
      <c r="L18" t="str">
        <f>IF(ISBLANK(B7)," ",B7-($Q18-L$19))</f>
        <v xml:space="preserve"> </v>
      </c>
      <c r="M18" t="str">
        <f>IF(ISBLANK(C7)," ",C7-($Q18-M$19))</f>
        <v xml:space="preserve"> </v>
      </c>
      <c r="N18" t="str">
        <f>IF(ISBLANK(D7)," ",D7-($Q18-N$19))</f>
        <v xml:space="preserve"> </v>
      </c>
      <c r="O18" t="str">
        <f>IF(ISBLANK(E7)," ",E7-($Q18-O$19))</f>
        <v xml:space="preserve"> </v>
      </c>
      <c r="P18" t="str">
        <f>IF(ISBLANK(F7)," ",F7-($Q18-P$19))</f>
        <v xml:space="preserve"> </v>
      </c>
      <c r="Q18">
        <f>P19</f>
        <v>0</v>
      </c>
      <c r="S18">
        <v>5</v>
      </c>
      <c r="T18" t="s">
        <v>17</v>
      </c>
    </row>
    <row r="19" spans="1:24" x14ac:dyDescent="0.35">
      <c r="K19" t="s">
        <v>12</v>
      </c>
      <c r="L19">
        <v>3</v>
      </c>
      <c r="M19">
        <v>34</v>
      </c>
      <c r="N19">
        <v>27</v>
      </c>
      <c r="O19">
        <v>9</v>
      </c>
      <c r="P19">
        <v>0</v>
      </c>
    </row>
    <row r="21" spans="1:24" x14ac:dyDescent="0.35">
      <c r="J21" t="s">
        <v>18</v>
      </c>
      <c r="L21">
        <v>5.0999999999999996</v>
      </c>
    </row>
    <row r="22" spans="1:24" x14ac:dyDescent="0.35">
      <c r="A22" t="s">
        <v>9</v>
      </c>
      <c r="B22">
        <f>$I14-SUM(B14:B18)</f>
        <v>3</v>
      </c>
      <c r="C22">
        <f>$I15-SUM(C14:C18)</f>
        <v>6</v>
      </c>
      <c r="D22">
        <f>$I16-SUM(D14:D18)</f>
        <v>2</v>
      </c>
      <c r="E22">
        <f>$I17-SUM(E14:E18)</f>
        <v>-6</v>
      </c>
      <c r="F22">
        <f>$I18-SUM(F14:F18)</f>
        <v>-5</v>
      </c>
    </row>
    <row r="23" spans="1:24" x14ac:dyDescent="0.35">
      <c r="A23" t="s">
        <v>6</v>
      </c>
      <c r="C23">
        <f>SUMPRODUCT(B14:H20,$B$3:$H$9)</f>
        <v>213</v>
      </c>
    </row>
    <row r="26" spans="1:24" x14ac:dyDescent="0.35">
      <c r="K26" t="s">
        <v>1</v>
      </c>
      <c r="T26" t="s">
        <v>13</v>
      </c>
      <c r="U26" t="s">
        <v>14</v>
      </c>
      <c r="V26">
        <v>1</v>
      </c>
    </row>
    <row r="27" spans="1:24" x14ac:dyDescent="0.35">
      <c r="A27" t="s">
        <v>2</v>
      </c>
      <c r="K27" t="s">
        <v>3</v>
      </c>
      <c r="T27" t="s">
        <v>15</v>
      </c>
    </row>
    <row r="28" spans="1:24" x14ac:dyDescent="0.35">
      <c r="B28">
        <v>1</v>
      </c>
      <c r="C28">
        <v>2</v>
      </c>
      <c r="D28">
        <v>3</v>
      </c>
      <c r="E28">
        <v>4</v>
      </c>
      <c r="F28">
        <v>5</v>
      </c>
      <c r="I28" t="s">
        <v>4</v>
      </c>
      <c r="K28" t="s">
        <v>10</v>
      </c>
      <c r="L28">
        <v>1</v>
      </c>
      <c r="M28">
        <v>2</v>
      </c>
      <c r="N28">
        <v>3</v>
      </c>
      <c r="O28">
        <v>4</v>
      </c>
      <c r="P28">
        <v>5</v>
      </c>
      <c r="Q28" t="s">
        <v>11</v>
      </c>
      <c r="T28">
        <v>1</v>
      </c>
      <c r="U28">
        <v>2</v>
      </c>
      <c r="V28">
        <v>3</v>
      </c>
      <c r="W28">
        <v>4</v>
      </c>
      <c r="X28">
        <v>5</v>
      </c>
    </row>
    <row r="29" spans="1:24" x14ac:dyDescent="0.35">
      <c r="A29">
        <v>1</v>
      </c>
      <c r="B29" s="1" t="str">
        <f t="shared" ref="B29:B33" si="3">IF(ISBLANK(B3)," ",IF(T14="x",B14-$V$11,IF(T14="f",$V$11,B14)))</f>
        <v xml:space="preserve"> </v>
      </c>
      <c r="C29" s="1">
        <f t="shared" ref="C29:C33" si="4">IF(ISBLANK(C3)," ",IF(U14="x",C14-$V$11,IF(U14="f",$V$11,C14)))</f>
        <v>0</v>
      </c>
      <c r="D29" s="1">
        <f t="shared" ref="D29:D33" si="5">IF(ISBLANK(D3)," ",IF(V14="x",D14-$V$11,IF(V14="f",$V$11,D14)))</f>
        <v>0</v>
      </c>
      <c r="E29" s="1" t="str">
        <f t="shared" ref="E29:E33" si="6">IF(ISBLANK(E3)," ",IF(W14="x",E14-$V$11,IF(W14="f",$V$11,E14)))</f>
        <v xml:space="preserve"> </v>
      </c>
      <c r="F29" s="1">
        <f t="shared" ref="F29:F33" si="7">IF(ISBLANK(F3)," ",IF(X14="x",F14-$V$11,IF(X14="f",$V$11,F14)))</f>
        <v>3</v>
      </c>
      <c r="I29">
        <f>SUM(B29:H29)</f>
        <v>3</v>
      </c>
      <c r="K29">
        <v>1</v>
      </c>
      <c r="L29" t="str">
        <f>IF(ISBLANK(B3)," ",B3-($Q29-L$34))</f>
        <v xml:space="preserve"> </v>
      </c>
      <c r="M29">
        <f t="shared" ref="M29:P33" si="8">IF(ISBLANK(C3)," ",C3-($Q29-M$34))</f>
        <v>1</v>
      </c>
      <c r="N29">
        <f t="shared" si="8"/>
        <v>0</v>
      </c>
      <c r="O29" t="str">
        <f t="shared" si="8"/>
        <v xml:space="preserve"> </v>
      </c>
      <c r="P29">
        <f t="shared" si="8"/>
        <v>-4</v>
      </c>
      <c r="Q29">
        <f>L34</f>
        <v>7</v>
      </c>
      <c r="S29">
        <v>1</v>
      </c>
    </row>
    <row r="30" spans="1:24" x14ac:dyDescent="0.35">
      <c r="A30">
        <v>2</v>
      </c>
      <c r="B30" s="1" t="str">
        <f t="shared" si="3"/>
        <v xml:space="preserve"> </v>
      </c>
      <c r="C30" s="1" t="str">
        <f t="shared" si="4"/>
        <v xml:space="preserve"> </v>
      </c>
      <c r="D30" s="1">
        <f t="shared" si="5"/>
        <v>6</v>
      </c>
      <c r="E30" s="1">
        <f t="shared" si="6"/>
        <v>0</v>
      </c>
      <c r="F30" s="1" t="str">
        <f t="shared" si="7"/>
        <v xml:space="preserve"> </v>
      </c>
      <c r="I30">
        <f t="shared" ref="I30:I33" si="9">SUM(B30:H30)</f>
        <v>6</v>
      </c>
      <c r="K30">
        <v>2</v>
      </c>
      <c r="L30" t="str">
        <f t="shared" ref="L30:L33" si="10">IF(ISBLANK(B4)," ",B4-($Q30-L$34))</f>
        <v xml:space="preserve"> </v>
      </c>
      <c r="M30" t="str">
        <f t="shared" si="8"/>
        <v xml:space="preserve"> </v>
      </c>
      <c r="N30">
        <f t="shared" si="8"/>
        <v>7</v>
      </c>
      <c r="O30">
        <f t="shared" si="8"/>
        <v>7</v>
      </c>
      <c r="P30" t="str">
        <f t="shared" si="8"/>
        <v xml:space="preserve"> </v>
      </c>
      <c r="Q30">
        <f>M34</f>
        <v>5</v>
      </c>
      <c r="S30">
        <v>2</v>
      </c>
      <c r="X30" t="s">
        <v>17</v>
      </c>
    </row>
    <row r="31" spans="1:24" x14ac:dyDescent="0.35">
      <c r="A31">
        <v>3</v>
      </c>
      <c r="B31" s="1" t="str">
        <f>IF(ISBLANK(B5)," ",IF(T16="x",B16-$V$11,IF(T16="f",$V$11,B16)))</f>
        <v xml:space="preserve"> </v>
      </c>
      <c r="C31" s="1" t="str">
        <f t="shared" si="4"/>
        <v xml:space="preserve"> </v>
      </c>
      <c r="D31" s="1" t="str">
        <f t="shared" si="5"/>
        <v xml:space="preserve"> </v>
      </c>
      <c r="E31" s="1">
        <f t="shared" si="6"/>
        <v>8</v>
      </c>
      <c r="F31" s="1">
        <f t="shared" si="7"/>
        <v>1</v>
      </c>
      <c r="I31">
        <f t="shared" si="9"/>
        <v>9</v>
      </c>
      <c r="K31">
        <v>3</v>
      </c>
      <c r="L31" t="str">
        <f t="shared" si="10"/>
        <v xml:space="preserve"> </v>
      </c>
      <c r="M31" t="str">
        <f t="shared" si="8"/>
        <v xml:space="preserve"> </v>
      </c>
      <c r="N31" t="str">
        <f t="shared" si="8"/>
        <v xml:space="preserve"> </v>
      </c>
      <c r="O31">
        <f t="shared" si="8"/>
        <v>11</v>
      </c>
      <c r="P31">
        <f t="shared" si="8"/>
        <v>-1</v>
      </c>
      <c r="Q31">
        <f>N34</f>
        <v>5</v>
      </c>
      <c r="S31">
        <v>3</v>
      </c>
      <c r="T31" t="s">
        <v>16</v>
      </c>
    </row>
    <row r="32" spans="1:24" x14ac:dyDescent="0.35">
      <c r="A32">
        <v>4</v>
      </c>
      <c r="B32" s="1" t="str">
        <f t="shared" si="3"/>
        <v xml:space="preserve"> </v>
      </c>
      <c r="C32" s="1" t="str">
        <f t="shared" si="4"/>
        <v xml:space="preserve"> </v>
      </c>
      <c r="D32" s="1" t="str">
        <f t="shared" si="5"/>
        <v xml:space="preserve"> </v>
      </c>
      <c r="E32" s="1" t="str">
        <f t="shared" si="6"/>
        <v xml:space="preserve"> </v>
      </c>
      <c r="F32" s="1">
        <f t="shared" si="7"/>
        <v>2</v>
      </c>
      <c r="I32">
        <f t="shared" si="9"/>
        <v>2</v>
      </c>
      <c r="K32">
        <v>4</v>
      </c>
      <c r="L32" t="str">
        <f t="shared" si="10"/>
        <v xml:space="preserve"> </v>
      </c>
      <c r="M32" t="str">
        <f t="shared" si="8"/>
        <v xml:space="preserve"> </v>
      </c>
      <c r="N32" t="str">
        <f t="shared" si="8"/>
        <v xml:space="preserve"> </v>
      </c>
      <c r="O32" t="str">
        <f t="shared" si="8"/>
        <v xml:space="preserve"> </v>
      </c>
      <c r="P32">
        <f t="shared" si="8"/>
        <v>11</v>
      </c>
      <c r="Q32">
        <f>O34</f>
        <v>-2</v>
      </c>
      <c r="S32">
        <v>4</v>
      </c>
    </row>
    <row r="33" spans="1:24" x14ac:dyDescent="0.35">
      <c r="A33">
        <v>5</v>
      </c>
      <c r="B33" s="1" t="str">
        <f t="shared" si="3"/>
        <v xml:space="preserve"> </v>
      </c>
      <c r="C33" s="1" t="str">
        <f t="shared" si="4"/>
        <v xml:space="preserve"> </v>
      </c>
      <c r="D33" s="1" t="str">
        <f t="shared" si="5"/>
        <v xml:space="preserve"> </v>
      </c>
      <c r="E33" s="1" t="str">
        <f t="shared" si="6"/>
        <v xml:space="preserve"> </v>
      </c>
      <c r="F33" s="1" t="str">
        <f t="shared" si="7"/>
        <v xml:space="preserve"> </v>
      </c>
      <c r="I33">
        <f t="shared" si="9"/>
        <v>0</v>
      </c>
      <c r="K33">
        <v>5</v>
      </c>
      <c r="L33" t="str">
        <f t="shared" si="10"/>
        <v xml:space="preserve"> </v>
      </c>
      <c r="M33" t="str">
        <f t="shared" si="8"/>
        <v xml:space="preserve"> </v>
      </c>
      <c r="N33" t="str">
        <f t="shared" si="8"/>
        <v xml:space="preserve"> </v>
      </c>
      <c r="O33" t="str">
        <f t="shared" si="8"/>
        <v xml:space="preserve"> </v>
      </c>
      <c r="P33" t="str">
        <f t="shared" si="8"/>
        <v xml:space="preserve"> </v>
      </c>
      <c r="Q33">
        <f>P34</f>
        <v>0</v>
      </c>
      <c r="S33">
        <v>5</v>
      </c>
      <c r="T33" t="s">
        <v>17</v>
      </c>
    </row>
    <row r="34" spans="1:24" x14ac:dyDescent="0.35">
      <c r="K34" t="s">
        <v>12</v>
      </c>
      <c r="L34">
        <v>7</v>
      </c>
      <c r="M34">
        <v>5</v>
      </c>
      <c r="N34">
        <v>5</v>
      </c>
      <c r="O34">
        <v>-2</v>
      </c>
      <c r="P34">
        <v>0</v>
      </c>
    </row>
    <row r="36" spans="1:24" x14ac:dyDescent="0.35">
      <c r="J36" t="s">
        <v>19</v>
      </c>
      <c r="L36">
        <v>2.5</v>
      </c>
    </row>
    <row r="37" spans="1:24" x14ac:dyDescent="0.35">
      <c r="A37" t="s">
        <v>9</v>
      </c>
      <c r="B37">
        <f>$I29-SUM(B29:B33)</f>
        <v>3</v>
      </c>
      <c r="C37">
        <f>$I30-SUM(C29:C33)</f>
        <v>6</v>
      </c>
      <c r="D37">
        <f>$I31-SUM(D29:D33)</f>
        <v>3</v>
      </c>
      <c r="E37">
        <f>$I32-SUM(E29:E33)</f>
        <v>-6</v>
      </c>
      <c r="F37">
        <f>$I33-SUM(F29:F33)</f>
        <v>-6</v>
      </c>
    </row>
    <row r="38" spans="1:24" x14ac:dyDescent="0.35">
      <c r="A38" t="s">
        <v>6</v>
      </c>
      <c r="C38">
        <f>SUMPRODUCT(B29:H35,$B$3:$H$9)</f>
        <v>217</v>
      </c>
    </row>
    <row r="41" spans="1:24" x14ac:dyDescent="0.35">
      <c r="K41" t="s">
        <v>1</v>
      </c>
      <c r="T41" t="s">
        <v>13</v>
      </c>
      <c r="U41" t="s">
        <v>14</v>
      </c>
      <c r="V41">
        <v>1</v>
      </c>
    </row>
    <row r="42" spans="1:24" x14ac:dyDescent="0.35">
      <c r="A42" t="s">
        <v>2</v>
      </c>
      <c r="K42" t="s">
        <v>3</v>
      </c>
      <c r="T42" t="s">
        <v>15</v>
      </c>
    </row>
    <row r="43" spans="1:24" x14ac:dyDescent="0.35">
      <c r="B43">
        <v>1</v>
      </c>
      <c r="C43">
        <v>2</v>
      </c>
      <c r="D43">
        <v>3</v>
      </c>
      <c r="E43">
        <v>4</v>
      </c>
      <c r="F43">
        <v>5</v>
      </c>
      <c r="I43" t="s">
        <v>4</v>
      </c>
      <c r="K43" t="s">
        <v>10</v>
      </c>
      <c r="L43">
        <v>1</v>
      </c>
      <c r="M43">
        <v>2</v>
      </c>
      <c r="N43">
        <v>3</v>
      </c>
      <c r="O43">
        <v>4</v>
      </c>
      <c r="P43">
        <v>5</v>
      </c>
      <c r="Q43" t="s">
        <v>11</v>
      </c>
      <c r="T43">
        <v>1</v>
      </c>
      <c r="U43">
        <v>2</v>
      </c>
      <c r="V43">
        <v>3</v>
      </c>
      <c r="W43">
        <v>4</v>
      </c>
      <c r="X43">
        <v>5</v>
      </c>
    </row>
    <row r="44" spans="1:24" x14ac:dyDescent="0.35">
      <c r="A44">
        <v>1</v>
      </c>
      <c r="B44" s="1" t="str">
        <f>IF(ISBLANK(B3)," ",IF(T29="x",B29-$V$11,IF(T29="f",$V$11,B29)))</f>
        <v xml:space="preserve"> </v>
      </c>
      <c r="C44" s="1">
        <f t="shared" ref="C44:F48" si="11">IF(ISBLANK(C3)," ",IF(U29="x",C29-$V$11,IF(U29="f",$V$11,C29)))</f>
        <v>0</v>
      </c>
      <c r="D44" s="1">
        <f t="shared" si="11"/>
        <v>0</v>
      </c>
      <c r="E44" s="1" t="str">
        <f t="shared" si="11"/>
        <v xml:space="preserve"> </v>
      </c>
      <c r="F44" s="1">
        <f t="shared" si="11"/>
        <v>3</v>
      </c>
      <c r="I44">
        <f>SUM(B44:H44)</f>
        <v>3</v>
      </c>
      <c r="K44">
        <v>1</v>
      </c>
      <c r="L44" t="e">
        <f>IF(ISBLANK(B33)," ",B33-($Q44-L$19))</f>
        <v>#VALUE!</v>
      </c>
      <c r="M44" t="e">
        <f>IF(ISBLANK(C33)," ",C33-($Q44-M$19))</f>
        <v>#VALUE!</v>
      </c>
      <c r="N44" t="e">
        <f>IF(ISBLANK(D33)," ",D33-($Q44-N$19))</f>
        <v>#VALUE!</v>
      </c>
      <c r="O44" t="e">
        <f>IF(ISBLANK(E33)," ",E33-($Q44-O$19))</f>
        <v>#VALUE!</v>
      </c>
      <c r="P44" t="e">
        <f>IF(ISBLANK(F33)," ",F33-($Q44-P$19))</f>
        <v>#VALUE!</v>
      </c>
      <c r="Q44">
        <v>-1</v>
      </c>
      <c r="S44">
        <v>1</v>
      </c>
    </row>
    <row r="45" spans="1:24" x14ac:dyDescent="0.35">
      <c r="A45">
        <v>2</v>
      </c>
      <c r="B45" s="1" t="str">
        <f t="shared" ref="B45:B48" si="12">IF(ISBLANK(B4)," ",IF(T30="x",B30-$V$11,IF(T30="f",$V$11,B30)))</f>
        <v xml:space="preserve"> </v>
      </c>
      <c r="C45" s="1" t="str">
        <f t="shared" si="11"/>
        <v xml:space="preserve"> </v>
      </c>
      <c r="D45" s="1">
        <f t="shared" si="11"/>
        <v>6</v>
      </c>
      <c r="E45" s="1">
        <f t="shared" si="11"/>
        <v>0</v>
      </c>
      <c r="F45" s="1" t="str">
        <f t="shared" si="11"/>
        <v xml:space="preserve"> </v>
      </c>
      <c r="I45">
        <f t="shared" ref="I45:I48" si="13">SUM(B45:H45)</f>
        <v>6</v>
      </c>
      <c r="K45">
        <v>2</v>
      </c>
      <c r="L45" t="str">
        <f>IF(ISBLANK(B34)," ",B34-($Q45-L$19))</f>
        <v xml:space="preserve"> </v>
      </c>
      <c r="M45" t="str">
        <f>IF(ISBLANK(C34)," ",C34-($Q45-M$19))</f>
        <v xml:space="preserve"> </v>
      </c>
      <c r="N45" t="str">
        <f>IF(ISBLANK(D34)," ",D34-($Q45-N$19))</f>
        <v xml:space="preserve"> </v>
      </c>
      <c r="O45" t="str">
        <f>IF(ISBLANK(E34)," ",E34-($Q45-O$19))</f>
        <v xml:space="preserve"> </v>
      </c>
      <c r="P45" t="str">
        <f>IF(ISBLANK(F34)," ",F34-($Q45-P$19))</f>
        <v xml:space="preserve"> </v>
      </c>
      <c r="Q45">
        <v>-3</v>
      </c>
      <c r="S45">
        <v>2</v>
      </c>
    </row>
    <row r="46" spans="1:24" x14ac:dyDescent="0.35">
      <c r="A46">
        <v>3</v>
      </c>
      <c r="B46" s="1" t="str">
        <f t="shared" si="12"/>
        <v xml:space="preserve"> </v>
      </c>
      <c r="C46" s="1" t="str">
        <f t="shared" si="11"/>
        <v xml:space="preserve"> </v>
      </c>
      <c r="D46" s="1" t="str">
        <f t="shared" si="11"/>
        <v xml:space="preserve"> </v>
      </c>
      <c r="E46" s="1">
        <f t="shared" si="11"/>
        <v>8</v>
      </c>
      <c r="F46" s="1">
        <f t="shared" si="11"/>
        <v>1</v>
      </c>
      <c r="I46">
        <f t="shared" si="13"/>
        <v>9</v>
      </c>
      <c r="K46">
        <v>3</v>
      </c>
      <c r="L46" t="str">
        <f>IF(ISBLANK(B35)," ",B35-($Q46-L$19))</f>
        <v xml:space="preserve"> </v>
      </c>
      <c r="M46" t="str">
        <f>IF(ISBLANK(C35)," ",C35-($Q46-M$19))</f>
        <v xml:space="preserve"> </v>
      </c>
      <c r="N46" t="str">
        <f>IF(ISBLANK(D35)," ",D35-($Q46-N$19))</f>
        <v xml:space="preserve"> </v>
      </c>
      <c r="O46" t="str">
        <f>IF(ISBLANK(E35)," ",E35-($Q46-O$19))</f>
        <v xml:space="preserve"> </v>
      </c>
      <c r="P46" t="str">
        <f>IF(ISBLANK(F35)," ",F35-($Q46-P$19))</f>
        <v xml:space="preserve"> </v>
      </c>
      <c r="Q46">
        <v>5</v>
      </c>
      <c r="S46">
        <v>3</v>
      </c>
      <c r="T46" t="s">
        <v>16</v>
      </c>
      <c r="X46" t="s">
        <v>17</v>
      </c>
    </row>
    <row r="47" spans="1:24" x14ac:dyDescent="0.35">
      <c r="A47">
        <v>4</v>
      </c>
      <c r="B47" s="1" t="str">
        <f t="shared" si="12"/>
        <v xml:space="preserve"> </v>
      </c>
      <c r="C47" s="1" t="str">
        <f t="shared" si="11"/>
        <v xml:space="preserve"> </v>
      </c>
      <c r="D47" s="1" t="str">
        <f t="shared" si="11"/>
        <v xml:space="preserve"> </v>
      </c>
      <c r="E47" s="1" t="str">
        <f t="shared" si="11"/>
        <v xml:space="preserve"> </v>
      </c>
      <c r="F47" s="1">
        <f t="shared" si="11"/>
        <v>2</v>
      </c>
      <c r="I47">
        <f t="shared" si="13"/>
        <v>2</v>
      </c>
      <c r="K47">
        <v>4</v>
      </c>
      <c r="L47" t="str">
        <f>IF(ISBLANK(B36)," ",B36-($Q47-L$19))</f>
        <v xml:space="preserve"> </v>
      </c>
      <c r="M47" t="str">
        <f>IF(ISBLANK(C36)," ",C36-($Q47-M$19))</f>
        <v xml:space="preserve"> </v>
      </c>
      <c r="N47" t="str">
        <f>IF(ISBLANK(D36)," ",D36-($Q47-N$19))</f>
        <v xml:space="preserve"> </v>
      </c>
      <c r="O47" t="str">
        <f>IF(ISBLANK(E36)," ",E36-($Q47-O$19))</f>
        <v xml:space="preserve"> </v>
      </c>
      <c r="P47" t="str">
        <f>IF(ISBLANK(F36)," ",F36-($Q47-P$19))</f>
        <v xml:space="preserve"> </v>
      </c>
      <c r="Q47">
        <v>-10</v>
      </c>
      <c r="S47">
        <v>4</v>
      </c>
    </row>
    <row r="48" spans="1:24" x14ac:dyDescent="0.35">
      <c r="A48">
        <v>5</v>
      </c>
      <c r="B48" s="1" t="str">
        <f t="shared" si="12"/>
        <v xml:space="preserve"> </v>
      </c>
      <c r="C48" s="1" t="str">
        <f t="shared" si="11"/>
        <v xml:space="preserve"> </v>
      </c>
      <c r="D48" s="1" t="str">
        <f t="shared" si="11"/>
        <v xml:space="preserve"> </v>
      </c>
      <c r="E48" s="1" t="str">
        <f t="shared" si="11"/>
        <v xml:space="preserve"> </v>
      </c>
      <c r="F48" s="1" t="str">
        <f t="shared" si="11"/>
        <v xml:space="preserve"> </v>
      </c>
      <c r="I48">
        <f t="shared" si="13"/>
        <v>0</v>
      </c>
      <c r="K48">
        <v>5</v>
      </c>
      <c r="L48">
        <f>IF(ISBLANK(B37)," ",B37-($Q48-L$19))</f>
        <v>6</v>
      </c>
      <c r="M48">
        <f>IF(ISBLANK(C37)," ",C37-($Q48-M$19))</f>
        <v>40</v>
      </c>
      <c r="N48">
        <f>IF(ISBLANK(D37)," ",D37-($Q48-N$19))</f>
        <v>30</v>
      </c>
      <c r="O48">
        <f>IF(ISBLANK(E37)," ",E37-($Q48-O$19))</f>
        <v>3</v>
      </c>
      <c r="P48">
        <f>IF(ISBLANK(F37)," ",F37-($Q48-P$19))</f>
        <v>-6</v>
      </c>
      <c r="Q48">
        <v>0</v>
      </c>
      <c r="S48">
        <v>5</v>
      </c>
      <c r="T48" t="s">
        <v>17</v>
      </c>
    </row>
    <row r="49" spans="1:16" x14ac:dyDescent="0.35">
      <c r="K49" t="s">
        <v>12</v>
      </c>
      <c r="L49">
        <f>Q44</f>
        <v>-1</v>
      </c>
      <c r="M49">
        <f>Q45</f>
        <v>-3</v>
      </c>
      <c r="N49">
        <f>Q46</f>
        <v>5</v>
      </c>
      <c r="O49">
        <f>Q47</f>
        <v>-10</v>
      </c>
      <c r="P49">
        <f>Q48</f>
        <v>0</v>
      </c>
    </row>
    <row r="52" spans="1:16" x14ac:dyDescent="0.35">
      <c r="A52" t="s">
        <v>9</v>
      </c>
      <c r="B52">
        <f>$I44-SUM(B44:B48)</f>
        <v>3</v>
      </c>
      <c r="C52">
        <f>$I45-SUM(C44:C48)</f>
        <v>6</v>
      </c>
      <c r="D52">
        <f>$I46-SUM(D44:D48)</f>
        <v>3</v>
      </c>
      <c r="E52">
        <f>$I47-SUM(E44:E48)</f>
        <v>-6</v>
      </c>
      <c r="F52">
        <f>$I48-SUM(F44:F48)</f>
        <v>-6</v>
      </c>
    </row>
    <row r="53" spans="1:16" x14ac:dyDescent="0.35">
      <c r="A53" t="s">
        <v>6</v>
      </c>
      <c r="C53">
        <f>SUMPRODUCT(B44:H50,$B$3:$H$9)</f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Ark1</vt:lpstr>
      <vt:lpstr>Ark2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Bue Andersen</dc:creator>
  <cp:lastModifiedBy>Laura Bue Andersen</cp:lastModifiedBy>
  <dcterms:created xsi:type="dcterms:W3CDTF">2024-01-18T06:57:34Z</dcterms:created>
  <dcterms:modified xsi:type="dcterms:W3CDTF">2024-01-18T11:49:26Z</dcterms:modified>
</cp:coreProperties>
</file>