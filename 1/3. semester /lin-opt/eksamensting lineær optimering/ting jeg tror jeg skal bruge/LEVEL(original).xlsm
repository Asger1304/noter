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2" codeName="{857A39E2-67AF-9BA6-E15C-A4B3A0C75593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asgeraircool/Desktop/lin-opt/eksamensting lineær optimering/ting jeg tror jeg skal bruge/"/>
    </mc:Choice>
  </mc:AlternateContent>
  <xr:revisionPtr revIDLastSave="0" documentId="8_{56B3BC4F-22F0-744F-9BB0-79AD3D05D3DF}" xr6:coauthVersionLast="47" xr6:coauthVersionMax="47" xr10:uidLastSave="{00000000-0000-0000-0000-000000000000}"/>
  <bookViews>
    <workbookView xWindow="0" yWindow="760" windowWidth="22140" windowHeight="13200" xr2:uid="{00000000-000D-0000-FFFF-FFFF00000000}"/>
  </bookViews>
  <sheets>
    <sheet name="Sheet1" sheetId="1" r:id="rId1"/>
    <sheet name="Ark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0" i="1" l="1"/>
  <c r="F20" i="1"/>
  <c r="G20" i="1"/>
  <c r="T21" i="1"/>
  <c r="AC22" i="1"/>
  <c r="AD23" i="1"/>
  <c r="E21" i="1"/>
  <c r="F21" i="1"/>
  <c r="G21" i="1"/>
  <c r="T22" i="1"/>
  <c r="AC23" i="1"/>
  <c r="AD24" i="1"/>
  <c r="F22" i="1"/>
  <c r="G22" i="1"/>
  <c r="T23" i="1"/>
  <c r="AC24" i="1"/>
  <c r="AD25" i="1"/>
  <c r="E23" i="1"/>
  <c r="F23" i="1"/>
  <c r="G23" i="1"/>
  <c r="T24" i="1"/>
  <c r="AC25" i="1"/>
  <c r="AD26" i="1"/>
  <c r="E24" i="1"/>
  <c r="F24" i="1"/>
  <c r="G24" i="1"/>
  <c r="T25" i="1"/>
  <c r="AC26" i="1"/>
  <c r="AD27" i="1"/>
  <c r="E28" i="1"/>
  <c r="F28" i="1"/>
  <c r="G28" i="1"/>
  <c r="T29" i="1"/>
  <c r="AC30" i="1"/>
  <c r="AD31" i="1"/>
  <c r="E29" i="1"/>
  <c r="F29" i="1"/>
  <c r="G29" i="1"/>
  <c r="T30" i="1"/>
  <c r="AC31" i="1"/>
  <c r="AD32" i="1"/>
  <c r="E30" i="1"/>
  <c r="F30" i="1"/>
  <c r="G30" i="1"/>
  <c r="T31" i="1"/>
  <c r="AC32" i="1"/>
  <c r="AD33" i="1"/>
  <c r="E31" i="1"/>
  <c r="F31" i="1"/>
  <c r="G31" i="1"/>
  <c r="T32" i="1"/>
  <c r="AC33" i="1"/>
  <c r="AD34" i="1"/>
  <c r="E32" i="1"/>
  <c r="F32" i="1"/>
  <c r="G32" i="1"/>
  <c r="T33" i="1"/>
  <c r="AC34" i="1"/>
  <c r="AD35" i="1"/>
  <c r="B5" i="2" a="1"/>
  <c r="B5" i="2"/>
  <c r="C5" i="2"/>
  <c r="B6" i="2"/>
  <c r="C6" i="2"/>
  <c r="B11" i="2" a="1"/>
  <c r="B11" i="2"/>
  <c r="C11" i="2"/>
  <c r="D11" i="2"/>
  <c r="E11" i="2"/>
  <c r="B12" i="2"/>
  <c r="C12" i="2"/>
  <c r="D12" i="2"/>
  <c r="E12" i="2"/>
</calcChain>
</file>

<file path=xl/sharedStrings.xml><?xml version="1.0" encoding="utf-8"?>
<sst xmlns="http://schemas.openxmlformats.org/spreadsheetml/2006/main" count="21" uniqueCount="17">
  <si>
    <t>Basisvar.</t>
  </si>
  <si>
    <t>x1</t>
  </si>
  <si>
    <t>x2</t>
  </si>
  <si>
    <r>
      <t>LEVEL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ysgaards simpl</t>
    </r>
    <r>
      <rPr>
        <b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x-pi</t>
    </r>
    <r>
      <rPr>
        <b/>
        <sz val="11"/>
        <color theme="1"/>
        <rFont val="Calibri"/>
        <family val="2"/>
        <scheme val="minor"/>
      </rPr>
      <t>V</t>
    </r>
    <r>
      <rPr>
        <sz val="11"/>
        <color theme="1"/>
        <rFont val="Calibri"/>
        <family val="2"/>
        <scheme val="minor"/>
      </rPr>
      <t xml:space="preserve">otering i </t>
    </r>
    <r>
      <rPr>
        <b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xce</t>
    </r>
    <r>
      <rPr>
        <b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): En procedure til simplex-pivotering i Excel/VBA, v. 1.0, september 2015 / Jens Lysgaard</t>
    </r>
  </si>
  <si>
    <t>Nyt januar 2018: nu med mulighed for simplex med en ukendt reel parameter.</t>
  </si>
  <si>
    <t>B</t>
  </si>
  <si>
    <t>B^-1</t>
  </si>
  <si>
    <t>A</t>
  </si>
  <si>
    <t>A^bar</t>
  </si>
  <si>
    <t>x3</t>
  </si>
  <si>
    <t>Primal</t>
  </si>
  <si>
    <t>Dual</t>
  </si>
  <si>
    <t>RHS</t>
  </si>
  <si>
    <t>x4</t>
  </si>
  <si>
    <t>x5</t>
  </si>
  <si>
    <t>x6</t>
  </si>
  <si>
    <t>red. Omk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</si>
</sst>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kr.&quot;_-;\-* #,##0.00\ &quot;kr.&quot;_-;_-* &quot;-&quot;??\ &quot;kr.&quot;_-;_-@_-"/>
    <numFmt numFmtId="164" formatCode="???/???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5D9F1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38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4" fontId="8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12" fontId="6" fillId="0" borderId="0" xfId="37" applyNumberFormat="1" applyFont="1" applyBorder="1" applyAlignment="1">
      <alignment horizontal="right" vertical="center" wrapText="1"/>
    </xf>
    <xf numFmtId="12" fontId="6" fillId="0" borderId="0" xfId="37" applyNumberFormat="1" applyFont="1" applyFill="1" applyBorder="1" applyAlignment="1">
      <alignment horizontal="right" vertical="center" wrapText="1"/>
    </xf>
    <xf numFmtId="12" fontId="7" fillId="0" borderId="0" xfId="0" applyNumberFormat="1" applyFont="1" applyAlignment="1">
      <alignment horizontal="center" vertical="center" wrapText="1"/>
    </xf>
    <xf numFmtId="12" fontId="7" fillId="0" borderId="0" xfId="0" applyNumberFormat="1" applyFont="1" applyAlignment="1">
      <alignment horizontal="right" vertical="center" wrapText="1"/>
    </xf>
    <xf numFmtId="12" fontId="6" fillId="0" borderId="0" xfId="0" applyNumberFormat="1" applyFont="1" applyAlignment="1">
      <alignment horizontal="right" vertical="center" wrapText="1"/>
    </xf>
    <xf numFmtId="2" fontId="7" fillId="0" borderId="0" xfId="0" applyNumberFormat="1" applyFont="1" applyAlignment="1">
      <alignment horizontal="center" vertical="center" wrapText="1"/>
    </xf>
    <xf numFmtId="2" fontId="7" fillId="0" borderId="0" xfId="0" applyNumberFormat="1" applyFont="1" applyAlignment="1">
      <alignment horizontal="right" vertical="center" wrapText="1"/>
    </xf>
    <xf numFmtId="2" fontId="7" fillId="2" borderId="0" xfId="0" applyNumberFormat="1" applyFont="1" applyFill="1" applyAlignment="1">
      <alignment horizontal="right" vertical="center" wrapText="1"/>
    </xf>
    <xf numFmtId="2" fontId="1" fillId="0" borderId="0" xfId="0" applyNumberFormat="1" applyFont="1" applyAlignment="1">
      <alignment vertical="center" wrapText="1"/>
    </xf>
    <xf numFmtId="12" fontId="0" fillId="0" borderId="0" xfId="0" applyNumberFormat="1"/>
    <xf numFmtId="12" fontId="1" fillId="0" borderId="0" xfId="0" applyNumberFormat="1" applyFont="1" applyAlignment="1">
      <alignment horizontal="right"/>
    </xf>
    <xf numFmtId="12" fontId="0" fillId="0" borderId="0" xfId="0" applyNumberFormat="1" applyAlignment="1">
      <alignment horizontal="center"/>
    </xf>
    <xf numFmtId="12" fontId="0" fillId="0" borderId="0" xfId="0" applyNumberFormat="1" applyAlignment="1">
      <alignment vertical="center" wrapText="1"/>
    </xf>
    <xf numFmtId="12" fontId="1" fillId="0" borderId="0" xfId="0" applyNumberFormat="1" applyFont="1" applyAlignment="1">
      <alignment horizontal="center"/>
    </xf>
    <xf numFmtId="12" fontId="1" fillId="0" borderId="0" xfId="0" applyNumberFormat="1" applyFont="1"/>
    <xf numFmtId="12" fontId="1" fillId="0" borderId="0" xfId="0" applyNumberFormat="1" applyFont="1" applyAlignment="1">
      <alignment vertical="center" wrapText="1"/>
    </xf>
    <xf numFmtId="12" fontId="6" fillId="0" borderId="0" xfId="0" applyNumberFormat="1" applyFont="1" applyAlignment="1">
      <alignment vertical="center" wrapText="1"/>
    </xf>
    <xf numFmtId="164" fontId="6" fillId="0" borderId="0" xfId="0" applyNumberFormat="1" applyFont="1" applyAlignment="1">
      <alignment horizontal="right" vertical="center" wrapText="1"/>
    </xf>
    <xf numFmtId="164" fontId="6" fillId="0" borderId="0" xfId="0" quotePrefix="1" applyNumberFormat="1" applyFont="1" applyAlignment="1">
      <alignment horizontal="right" vertical="center" wrapText="1"/>
    </xf>
    <xf numFmtId="164" fontId="6" fillId="2" borderId="0" xfId="0" applyNumberFormat="1" applyFont="1" applyFill="1" applyAlignment="1">
      <alignment horizontal="right" vertical="center" wrapText="1"/>
    </xf>
    <xf numFmtId="164" fontId="0" fillId="3" borderId="1" xfId="0" applyNumberFormat="1" applyFill="1" applyBorder="1"/>
    <xf numFmtId="164" fontId="0" fillId="3" borderId="2" xfId="0" applyNumberFormat="1" applyFill="1" applyBorder="1"/>
    <xf numFmtId="164" fontId="0" fillId="0" borderId="3" xfId="0" applyNumberFormat="1" applyBorder="1"/>
    <xf numFmtId="164" fontId="0" fillId="0" borderId="0" xfId="0" applyNumberFormat="1"/>
    <xf numFmtId="164" fontId="0" fillId="3" borderId="3" xfId="0" applyNumberFormat="1" applyFill="1" applyBorder="1"/>
    <xf numFmtId="164" fontId="0" fillId="3" borderId="0" xfId="0" applyNumberFormat="1" applyFill="1"/>
  </cellXfs>
  <cellStyles count="38">
    <cellStyle name="Besøgt link" xfId="2" builtinId="9" hidden="1"/>
    <cellStyle name="Besøgt link" xfId="4" builtinId="9" hidden="1"/>
    <cellStyle name="Besøgt link" xfId="6" builtinId="9" hidden="1"/>
    <cellStyle name="Besøgt link" xfId="8" builtinId="9" hidden="1"/>
    <cellStyle name="Besøgt link" xfId="10" builtinId="9" hidden="1"/>
    <cellStyle name="Besøgt link" xfId="12" builtinId="9" hidden="1"/>
    <cellStyle name="Besøgt link" xfId="14" builtinId="9" hidden="1"/>
    <cellStyle name="Besøgt link" xfId="16" builtinId="9" hidden="1"/>
    <cellStyle name="Besøgt link" xfId="18" builtinId="9" hidden="1"/>
    <cellStyle name="Besøgt link" xfId="20" builtinId="9" hidden="1"/>
    <cellStyle name="Besøgt link" xfId="22" builtinId="9" hidden="1"/>
    <cellStyle name="Besøgt link" xfId="24" builtinId="9" hidden="1"/>
    <cellStyle name="Besøgt link" xfId="26" builtinId="9" hidden="1"/>
    <cellStyle name="Besøgt link" xfId="28" builtinId="9" hidden="1"/>
    <cellStyle name="Besøgt link" xfId="30" builtinId="9" hidden="1"/>
    <cellStyle name="Besøgt link" xfId="32" builtinId="9" hidden="1"/>
    <cellStyle name="Besøgt link" xfId="34" builtinId="9" hidden="1"/>
    <cellStyle name="Besøgt link" xfId="36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Link" xfId="17" builtinId="8" hidden="1"/>
    <cellStyle name="Link" xfId="19" builtinId="8" hidden="1"/>
    <cellStyle name="Link" xfId="21" builtinId="8" hidden="1"/>
    <cellStyle name="Link" xfId="23" builtinId="8" hidden="1"/>
    <cellStyle name="Link" xfId="25" builtinId="8" hidden="1"/>
    <cellStyle name="Link" xfId="27" builtinId="8" hidden="1"/>
    <cellStyle name="Link" xfId="29" builtinId="8" hidden="1"/>
    <cellStyle name="Link" xfId="31" builtinId="8" hidden="1"/>
    <cellStyle name="Link" xfId="33" builtinId="8" hidden="1"/>
    <cellStyle name="Link" xfId="35" builtinId="8" hidden="1"/>
    <cellStyle name="Normal" xfId="0" builtinId="0"/>
    <cellStyle name="Valuta" xfId="37" builtin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5" Type="http://schemas.openxmlformats.org/officeDocument/2006/relationships/customXml" Target="../ink/ink4.xml"/><Relationship Id="rId4" Type="http://schemas.openxmlformats.org/officeDocument/2006/relationships/customXml" Target="../ink/ink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</xdr:row>
          <xdr:rowOff>38100</xdr:rowOff>
        </xdr:from>
        <xdr:to>
          <xdr:col>4</xdr:col>
          <xdr:colOff>76200</xdr:colOff>
          <xdr:row>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Pivotér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723900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som brøker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som decimaltal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725950</xdr:colOff>
      <xdr:row>56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6" name="Ink 1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29</xdr:col>
      <xdr:colOff>725950</xdr:colOff>
      <xdr:row>62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Ink 1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29</xdr:col>
      <xdr:colOff>725950</xdr:colOff>
      <xdr:row>68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9" name="Ink 1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29</xdr:col>
      <xdr:colOff>725950</xdr:colOff>
      <xdr:row>74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Ink 1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1:57.2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2:06.8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2:20.9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2:42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95"/>
  <sheetViews>
    <sheetView tabSelected="1" zoomScale="85" zoomScaleNormal="91" workbookViewId="0">
      <pane ySplit="5" topLeftCell="A6" activePane="bottomLeft" state="frozen"/>
      <selection pane="bottomLeft" activeCell="H16" sqref="H16:J16"/>
    </sheetView>
  </sheetViews>
  <sheetFormatPr baseColWidth="10" defaultColWidth="8.83203125" defaultRowHeight="15" x14ac:dyDescent="0.2"/>
  <cols>
    <col min="1" max="3" width="8.83203125" style="11"/>
    <col min="4" max="4" width="13.5" style="11" bestFit="1" customWidth="1"/>
    <col min="5" max="5" width="13" style="11" bestFit="1" customWidth="1"/>
    <col min="6" max="6" width="13.5" style="11" bestFit="1" customWidth="1"/>
    <col min="7" max="7" width="14" style="11" bestFit="1" customWidth="1"/>
    <col min="8" max="19" width="14" style="11" customWidth="1"/>
    <col min="20" max="20" width="13.5" style="11" bestFit="1" customWidth="1"/>
    <col min="21" max="28" width="13.5" style="11" customWidth="1"/>
    <col min="29" max="29" width="15.5" style="11" customWidth="1"/>
    <col min="30" max="30" width="14.33203125" style="11" customWidth="1"/>
    <col min="31" max="31" width="12.6640625" style="11" bestFit="1" customWidth="1"/>
    <col min="32" max="32" width="12.33203125" style="11" bestFit="1" customWidth="1"/>
    <col min="33" max="33" width="11" style="11" bestFit="1" customWidth="1"/>
    <col min="34" max="34" width="10.5" style="11" bestFit="1" customWidth="1"/>
    <col min="35" max="35" width="11" style="11" bestFit="1" customWidth="1"/>
    <col min="36" max="16384" width="8.83203125" style="11"/>
  </cols>
  <sheetData>
    <row r="1" spans="1:29" x14ac:dyDescent="0.2">
      <c r="A1" s="11" t="s">
        <v>3</v>
      </c>
    </row>
    <row r="2" spans="1:29" x14ac:dyDescent="0.2">
      <c r="AC2" s="11" t="s">
        <v>4</v>
      </c>
    </row>
    <row r="6" spans="1:29" ht="16" x14ac:dyDescent="0.2">
      <c r="C6" s="7" t="s">
        <v>0</v>
      </c>
      <c r="D6" s="8" t="s">
        <v>1</v>
      </c>
      <c r="E6" s="8" t="s">
        <v>2</v>
      </c>
      <c r="F6" s="8" t="s">
        <v>9</v>
      </c>
      <c r="G6" s="8" t="s">
        <v>13</v>
      </c>
      <c r="H6" s="8" t="s">
        <v>14</v>
      </c>
      <c r="I6" s="8" t="s">
        <v>15</v>
      </c>
      <c r="J6" s="9" t="s">
        <v>12</v>
      </c>
      <c r="L6" s="12"/>
      <c r="M6" s="12"/>
      <c r="N6" s="12"/>
      <c r="O6" s="12"/>
    </row>
    <row r="7" spans="1:29" ht="16" x14ac:dyDescent="0.2">
      <c r="C7" s="10" t="s">
        <v>16</v>
      </c>
      <c r="D7" s="19">
        <v>-1.1102230246251565E-16</v>
      </c>
      <c r="E7" s="19">
        <v>0</v>
      </c>
      <c r="F7" s="20">
        <v>2.3333333333333339</v>
      </c>
      <c r="G7" s="19">
        <v>0</v>
      </c>
      <c r="H7" s="19">
        <v>0</v>
      </c>
      <c r="I7" s="19">
        <v>0.33333333333333326</v>
      </c>
      <c r="J7" s="21">
        <v>23.666666666666668</v>
      </c>
    </row>
    <row r="8" spans="1:29" ht="16" x14ac:dyDescent="0.2">
      <c r="C8" s="10" t="s">
        <v>1</v>
      </c>
      <c r="D8" s="19">
        <v>1</v>
      </c>
      <c r="E8" s="19">
        <v>0</v>
      </c>
      <c r="F8" s="20">
        <v>-1.6666666666666661</v>
      </c>
      <c r="G8" s="19">
        <v>0</v>
      </c>
      <c r="H8" s="19">
        <v>0</v>
      </c>
      <c r="I8" s="19">
        <v>0.33333333333333326</v>
      </c>
      <c r="J8" s="21">
        <v>3.6666666666666679</v>
      </c>
    </row>
    <row r="9" spans="1:29" ht="16" x14ac:dyDescent="0.2">
      <c r="C9" s="10" t="s">
        <v>2</v>
      </c>
      <c r="D9" s="19">
        <v>0</v>
      </c>
      <c r="E9" s="19">
        <v>1</v>
      </c>
      <c r="F9" s="20">
        <v>2.666666666666667</v>
      </c>
      <c r="G9" s="19">
        <v>0</v>
      </c>
      <c r="H9" s="19">
        <v>0</v>
      </c>
      <c r="I9" s="19">
        <v>-0.33333333333333404</v>
      </c>
      <c r="J9" s="21">
        <v>1.3333333333333328</v>
      </c>
    </row>
    <row r="10" spans="1:29" ht="16" x14ac:dyDescent="0.2">
      <c r="C10" s="10" t="s">
        <v>14</v>
      </c>
      <c r="D10" s="19">
        <v>0</v>
      </c>
      <c r="E10" s="19">
        <v>0</v>
      </c>
      <c r="F10" s="20">
        <v>7.0000000000000009</v>
      </c>
      <c r="G10" s="19">
        <v>0</v>
      </c>
      <c r="H10" s="19">
        <v>1</v>
      </c>
      <c r="I10" s="19">
        <v>-1.0000000000000013</v>
      </c>
      <c r="J10" s="21">
        <v>1.9999999999999991</v>
      </c>
    </row>
    <row r="11" spans="1:29" ht="16" x14ac:dyDescent="0.2">
      <c r="C11" s="10" t="s">
        <v>13</v>
      </c>
      <c r="D11" s="19">
        <v>0</v>
      </c>
      <c r="E11" s="19">
        <v>0</v>
      </c>
      <c r="F11" s="20">
        <v>0.66666666666666685</v>
      </c>
      <c r="G11" s="19">
        <v>1</v>
      </c>
      <c r="H11" s="19">
        <v>0</v>
      </c>
      <c r="I11" s="19">
        <v>-1.3333333333333337</v>
      </c>
      <c r="J11" s="21">
        <v>0.33333333333333048</v>
      </c>
    </row>
    <row r="12" spans="1:29" x14ac:dyDescent="0.2">
      <c r="G12" s="13"/>
      <c r="H12" s="13"/>
      <c r="I12" s="13"/>
      <c r="J12" s="13"/>
      <c r="K12" s="13"/>
      <c r="L12" s="13"/>
      <c r="M12" s="13"/>
      <c r="N12" s="13"/>
      <c r="O12" s="13"/>
      <c r="P12" s="13"/>
    </row>
    <row r="13" spans="1:29" x14ac:dyDescent="0.2">
      <c r="G13" s="13"/>
      <c r="H13" s="13"/>
      <c r="I13" s="13"/>
      <c r="J13" s="13"/>
      <c r="K13" s="13"/>
      <c r="L13" s="13"/>
      <c r="M13" s="13"/>
      <c r="N13" s="13"/>
      <c r="O13" s="13"/>
      <c r="P13" s="13"/>
    </row>
    <row r="14" spans="1:29" x14ac:dyDescent="0.2">
      <c r="G14" s="13"/>
      <c r="H14" s="13"/>
      <c r="I14" s="13"/>
      <c r="J14" s="13"/>
      <c r="K14" s="13"/>
      <c r="L14" s="13"/>
      <c r="M14" s="13"/>
      <c r="N14" s="13"/>
      <c r="O14" s="13"/>
      <c r="P14" s="13"/>
    </row>
    <row r="15" spans="1:29" x14ac:dyDescent="0.2">
      <c r="G15" s="13"/>
      <c r="H15" s="13"/>
      <c r="I15" s="13"/>
      <c r="J15" s="13"/>
      <c r="K15" s="13"/>
      <c r="L15" s="13"/>
      <c r="M15" s="13"/>
      <c r="N15" s="13"/>
      <c r="O15" s="13"/>
      <c r="P15" s="13"/>
    </row>
    <row r="16" spans="1:29" x14ac:dyDescent="0.2">
      <c r="C16" s="14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X16" s="13"/>
    </row>
    <row r="17" spans="3:35" x14ac:dyDescent="0.2">
      <c r="C17" s="14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AD17" s="13"/>
    </row>
    <row r="18" spans="3:35" x14ac:dyDescent="0.2">
      <c r="C18" s="14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H18" s="13"/>
    </row>
    <row r="19" spans="3:35" x14ac:dyDescent="0.2">
      <c r="T19" s="6"/>
      <c r="U19" s="6"/>
      <c r="V19" s="6"/>
      <c r="W19" s="6"/>
      <c r="X19" s="6"/>
      <c r="Y19" s="6"/>
      <c r="Z19" s="6"/>
      <c r="AA19" s="6"/>
      <c r="AB19" s="6"/>
      <c r="AC19" s="6"/>
      <c r="AD19" s="4"/>
      <c r="AH19" s="13"/>
    </row>
    <row r="20" spans="3:35" ht="16" thickBot="1" x14ac:dyDescent="0.25">
      <c r="E20" s="12" t="str">
        <f>IF(D6="","",D6)</f>
        <v>x1</v>
      </c>
      <c r="F20" s="12" t="str">
        <f>IF(E6="","",E6)</f>
        <v>x2</v>
      </c>
      <c r="G20" s="12" t="str">
        <f>IF(F6="","",F6)</f>
        <v>x3</v>
      </c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Z20" s="6"/>
      <c r="AA20" s="6"/>
      <c r="AB20" s="6"/>
      <c r="AC20" s="6"/>
      <c r="AD20" s="4"/>
      <c r="AH20" s="13"/>
    </row>
    <row r="21" spans="3:35" ht="16" thickBot="1" x14ac:dyDescent="0.25">
      <c r="C21" s="15"/>
      <c r="D21" s="16" t="s">
        <v>10</v>
      </c>
      <c r="E21" s="22" t="e">
        <f>IF(#REF!&gt;0,#REF!/#REF!," ")</f>
        <v>#REF!</v>
      </c>
      <c r="F21" s="23" t="e">
        <f>IF(#REF!&gt;0,#REF!/#REF!," ")</f>
        <v>#REF!</v>
      </c>
      <c r="G21" s="23" t="e">
        <f>IF(#REF!&gt;0,#REF!/#REF!," ")</f>
        <v>#REF!</v>
      </c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12" t="str">
        <f>IF(G6="","",G6)</f>
        <v>x4</v>
      </c>
      <c r="U21" s="12"/>
      <c r="V21" s="12"/>
      <c r="W21" s="12"/>
      <c r="X21" s="12"/>
      <c r="Y21" s="12"/>
      <c r="AD21" s="4"/>
      <c r="AH21" s="13"/>
    </row>
    <row r="22" spans="3:35" ht="16" thickBot="1" x14ac:dyDescent="0.25">
      <c r="C22" s="16"/>
      <c r="E22" s="24">
        <v>0</v>
      </c>
      <c r="F22" s="25" t="e">
        <f>IF(#REF!&gt;0,#REF!/#REF!," ")</f>
        <v>#REF!</v>
      </c>
      <c r="G22" s="25" t="e">
        <f>IF(#REF!&gt;0,#REF!/#REF!," ")</f>
        <v>#REF!</v>
      </c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3" t="e">
        <f>IF(#REF!&gt;0,#REF!/#REF!," ")</f>
        <v>#REF!</v>
      </c>
      <c r="U22" s="23"/>
      <c r="V22" s="23"/>
      <c r="W22" s="23"/>
      <c r="X22" s="23"/>
      <c r="Y22" s="23"/>
      <c r="Z22" s="12"/>
      <c r="AA22" s="12"/>
      <c r="AB22" s="12"/>
      <c r="AC22" s="12" t="e">
        <f>IF(#REF!="","",#REF!)</f>
        <v>#REF!</v>
      </c>
      <c r="AE22" s="4"/>
      <c r="AI22" s="13"/>
    </row>
    <row r="23" spans="3:35" ht="16" thickBot="1" x14ac:dyDescent="0.25">
      <c r="C23" s="15"/>
      <c r="E23" s="26" t="e">
        <f>IF(#REF!&gt;0,#REF!/#REF!," ")</f>
        <v>#REF!</v>
      </c>
      <c r="F23" s="27" t="e">
        <f>IF(#REF!&gt;0,#REF!/#REF!," ")</f>
        <v>#REF!</v>
      </c>
      <c r="G23" s="27" t="e">
        <f>IF(#REF!&gt;0,#REF!/#REF!," ")</f>
        <v>#REF!</v>
      </c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5" t="e">
        <f>IF(#REF!&gt;0,#REF!/#REF!," ")</f>
        <v>#REF!</v>
      </c>
      <c r="U23" s="25"/>
      <c r="V23" s="25"/>
      <c r="W23" s="25"/>
      <c r="X23" s="25"/>
      <c r="Y23" s="25"/>
      <c r="Z23" s="23"/>
      <c r="AA23" s="23"/>
      <c r="AB23" s="23"/>
      <c r="AC23" s="23" t="e">
        <f>IF(#REF!&gt;0,#REF!/#REF!," ")</f>
        <v>#REF!</v>
      </c>
      <c r="AD23" s="12" t="e">
        <f>IF(#REF!="","",#REF!)</f>
        <v>#REF!</v>
      </c>
      <c r="AE23" s="4"/>
      <c r="AI23" s="13"/>
    </row>
    <row r="24" spans="3:35" x14ac:dyDescent="0.2">
      <c r="C24" s="15"/>
      <c r="D24" s="16"/>
      <c r="E24" s="24" t="str">
        <f>IF(D16&gt;0,#REF!/D16," ")</f>
        <v xml:space="preserve"> </v>
      </c>
      <c r="F24" s="25" t="str">
        <f>IF(E16&gt;0,#REF!/E16," ")</f>
        <v xml:space="preserve"> </v>
      </c>
      <c r="G24" s="25" t="str">
        <f>IF(F16&gt;0,#REF!/F16," ")</f>
        <v xml:space="preserve"> </v>
      </c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7" t="e">
        <f>IF(#REF!&gt;0,#REF!/#REF!," ")</f>
        <v>#REF!</v>
      </c>
      <c r="U24" s="27"/>
      <c r="V24" s="27"/>
      <c r="W24" s="27"/>
      <c r="X24" s="27"/>
      <c r="Y24" s="27"/>
      <c r="Z24" s="25"/>
      <c r="AA24" s="25"/>
      <c r="AB24" s="25"/>
      <c r="AC24" s="25" t="e">
        <f>IF(#REF!&gt;0,#REF!/#REF!," ")</f>
        <v>#REF!</v>
      </c>
      <c r="AD24" s="23" t="e">
        <f>IF(#REF!&gt;0,#REF!/#REF!," ")</f>
        <v>#REF!</v>
      </c>
      <c r="AE24" s="17"/>
      <c r="AF24" s="12"/>
      <c r="AG24" s="12"/>
      <c r="AH24" s="12"/>
      <c r="AI24" s="12"/>
    </row>
    <row r="25" spans="3:35" x14ac:dyDescent="0.2">
      <c r="C25" s="15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25" t="str">
        <f>IF(G16&gt;0,#REF!/G16," ")</f>
        <v xml:space="preserve"> </v>
      </c>
      <c r="U25" s="25"/>
      <c r="V25" s="25"/>
      <c r="W25" s="25"/>
      <c r="X25" s="25"/>
      <c r="Y25" s="25"/>
      <c r="Z25" s="27"/>
      <c r="AA25" s="27"/>
      <c r="AB25" s="27"/>
      <c r="AC25" s="27" t="e">
        <f>IF(#REF!&gt;0,#REF!/#REF!," ")</f>
        <v>#REF!</v>
      </c>
      <c r="AD25" s="25" t="e">
        <f>IF(#REF!&gt;0,#REF!/#REF!," ")</f>
        <v>#REF!</v>
      </c>
      <c r="AE25" s="4"/>
      <c r="AF25" s="12"/>
      <c r="AG25" s="12"/>
      <c r="AH25" s="12"/>
      <c r="AI25" s="12"/>
    </row>
    <row r="26" spans="3:35" x14ac:dyDescent="0.2">
      <c r="C26" s="16"/>
      <c r="T26" s="12"/>
      <c r="U26" s="12"/>
      <c r="V26" s="12"/>
      <c r="W26" s="12"/>
      <c r="X26" s="12"/>
      <c r="Y26" s="12"/>
      <c r="Z26" s="25"/>
      <c r="AA26" s="25"/>
      <c r="AB26" s="25"/>
      <c r="AC26" s="25" t="str">
        <f>IF(T17&gt;0,#REF!/T17," ")</f>
        <v xml:space="preserve"> </v>
      </c>
      <c r="AD26" s="27" t="e">
        <f>IF(#REF!&gt;0,#REF!/#REF!," ")</f>
        <v>#REF!</v>
      </c>
      <c r="AE26" s="4"/>
    </row>
    <row r="27" spans="3:35" x14ac:dyDescent="0.2">
      <c r="C27" s="15"/>
      <c r="Z27" s="12"/>
      <c r="AA27" s="12"/>
      <c r="AB27" s="12"/>
      <c r="AC27" s="12"/>
      <c r="AD27" s="25" t="str">
        <f>IF(AC18&gt;0,#REF!/AC18," ")</f>
        <v xml:space="preserve"> </v>
      </c>
      <c r="AE27" s="4"/>
      <c r="AI27" s="13"/>
    </row>
    <row r="28" spans="3:35" ht="16" thickBot="1" x14ac:dyDescent="0.25">
      <c r="C28" s="15"/>
      <c r="E28" s="12" t="str">
        <f>IF(D6="","",D6)</f>
        <v>x1</v>
      </c>
      <c r="F28" s="12" t="str">
        <f>IF(E6="","",E6)</f>
        <v>x2</v>
      </c>
      <c r="G28" s="12" t="str">
        <f>IF(F6="","",F6)</f>
        <v>x3</v>
      </c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AD28" s="12"/>
      <c r="AE28" s="4"/>
      <c r="AI28" s="13"/>
    </row>
    <row r="29" spans="3:35" ht="16" thickBot="1" x14ac:dyDescent="0.25">
      <c r="C29" s="15"/>
      <c r="D29" s="16" t="s">
        <v>11</v>
      </c>
      <c r="E29" s="22" t="e">
        <f>IF(#REF!&lt;0,-D$7/#REF!," ")</f>
        <v>#REF!</v>
      </c>
      <c r="F29" s="23" t="e">
        <f>IF(#REF!&lt;0,-E$7/#REF!," ")</f>
        <v>#REF!</v>
      </c>
      <c r="G29" s="23" t="e">
        <f>IF(#REF!&lt;0,-F$7/#REF!," ")</f>
        <v>#REF!</v>
      </c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12" t="str">
        <f>IF(G6="","",G6)</f>
        <v>x4</v>
      </c>
      <c r="U29" s="12"/>
      <c r="V29" s="12"/>
      <c r="W29" s="12"/>
      <c r="X29" s="12"/>
      <c r="Y29" s="12"/>
      <c r="AE29" s="17"/>
      <c r="AF29" s="12"/>
      <c r="AG29" s="12"/>
      <c r="AH29" s="12"/>
      <c r="AI29" s="12"/>
    </row>
    <row r="30" spans="3:35" ht="16" thickBot="1" x14ac:dyDescent="0.25">
      <c r="C30" s="15"/>
      <c r="D30" s="15"/>
      <c r="E30" s="24" t="e">
        <f>IF(#REF!&lt;0,-D$7/#REF!," ")</f>
        <v>#REF!</v>
      </c>
      <c r="F30" s="25" t="e">
        <f>IF(#REF!&lt;0,-E$7/#REF!," ")</f>
        <v>#REF!</v>
      </c>
      <c r="G30" s="25" t="e">
        <f>IF(#REF!&lt;0,-F$7/#REF!," ")</f>
        <v>#REF!</v>
      </c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3" t="e">
        <f>IF(#REF!&lt;0,-G$7/#REF!," ")</f>
        <v>#REF!</v>
      </c>
      <c r="U30" s="23"/>
      <c r="V30" s="23"/>
      <c r="W30" s="23"/>
      <c r="X30" s="23"/>
      <c r="Y30" s="23"/>
      <c r="Z30" s="12"/>
      <c r="AA30" s="12"/>
      <c r="AB30" s="12"/>
      <c r="AC30" s="12" t="e">
        <f>IF(#REF!="","",#REF!)</f>
        <v>#REF!</v>
      </c>
      <c r="AE30" s="4"/>
      <c r="AF30" s="12"/>
      <c r="AG30" s="12"/>
      <c r="AH30" s="12"/>
      <c r="AI30" s="12"/>
    </row>
    <row r="31" spans="3:35" ht="16" thickBot="1" x14ac:dyDescent="0.25">
      <c r="C31" s="4"/>
      <c r="D31" s="5"/>
      <c r="E31" s="26" t="e">
        <f>IF(#REF!&lt;0,-D$7/#REF!," ")</f>
        <v>#REF!</v>
      </c>
      <c r="F31" s="27" t="e">
        <f>IF(#REF!&lt;0,-E$7/#REF!," ")</f>
        <v>#REF!</v>
      </c>
      <c r="G31" s="27" t="e">
        <f>IF(#REF!&lt;0,-F$7/#REF!," ")</f>
        <v>#REF!</v>
      </c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5" t="e">
        <f>IF(#REF!&lt;0,-G$7/#REF!," ")</f>
        <v>#REF!</v>
      </c>
      <c r="U31" s="25"/>
      <c r="V31" s="25"/>
      <c r="W31" s="25"/>
      <c r="X31" s="25"/>
      <c r="Y31" s="25"/>
      <c r="Z31" s="23"/>
      <c r="AA31" s="23"/>
      <c r="AB31" s="23"/>
      <c r="AC31" s="23" t="e">
        <f>IF(#REF!&lt;0,-#REF!/#REF!," ")</f>
        <v>#REF!</v>
      </c>
      <c r="AD31" s="12" t="e">
        <f>IF(#REF!="","",#REF!)</f>
        <v>#REF!</v>
      </c>
      <c r="AE31" s="4"/>
    </row>
    <row r="32" spans="3:35" x14ac:dyDescent="0.2">
      <c r="C32" s="4"/>
      <c r="D32" s="5"/>
      <c r="E32" s="24" t="str">
        <f>IF(D16&lt;0,-D$7/D16," ")</f>
        <v xml:space="preserve"> </v>
      </c>
      <c r="F32" s="25" t="str">
        <f>IF(E16&lt;0,-E$7/E16," ")</f>
        <v xml:space="preserve"> </v>
      </c>
      <c r="G32" s="25" t="str">
        <f>IF(F16&lt;0,-F$7/F16," ")</f>
        <v xml:space="preserve"> </v>
      </c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7" t="e">
        <f>IF(#REF!&lt;0,-G$7/#REF!," ")</f>
        <v>#REF!</v>
      </c>
      <c r="U32" s="27"/>
      <c r="V32" s="27"/>
      <c r="W32" s="27"/>
      <c r="X32" s="27"/>
      <c r="Y32" s="27"/>
      <c r="Z32" s="25"/>
      <c r="AA32" s="25"/>
      <c r="AB32" s="25"/>
      <c r="AC32" s="25" t="e">
        <f>IF(#REF!&lt;0,-#REF!/#REF!," ")</f>
        <v>#REF!</v>
      </c>
      <c r="AD32" s="23" t="e">
        <f>IF(#REF!&lt;0,-#REF!/#REF!," ")</f>
        <v>#REF!</v>
      </c>
      <c r="AE32" s="4"/>
      <c r="AI32" s="13"/>
    </row>
    <row r="33" spans="3:35" x14ac:dyDescent="0.2">
      <c r="C33" s="14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25" t="str">
        <f>IF(G16&lt;0,-G$7/G16," ")</f>
        <v xml:space="preserve"> </v>
      </c>
      <c r="U33" s="25"/>
      <c r="V33" s="25"/>
      <c r="W33" s="25"/>
      <c r="X33" s="25"/>
      <c r="Y33" s="25"/>
      <c r="Z33" s="27"/>
      <c r="AA33" s="27"/>
      <c r="AB33" s="27"/>
      <c r="AC33" s="27" t="e">
        <f>IF(#REF!&lt;0,-#REF!/#REF!," ")</f>
        <v>#REF!</v>
      </c>
      <c r="AD33" s="25" t="e">
        <f>IF(#REF!&lt;0,-#REF!/#REF!," ")</f>
        <v>#REF!</v>
      </c>
      <c r="AE33" s="4"/>
      <c r="AI33" s="13"/>
    </row>
    <row r="34" spans="3:35" x14ac:dyDescent="0.2">
      <c r="C34" s="4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25"/>
      <c r="AA34" s="25"/>
      <c r="AB34" s="25"/>
      <c r="AC34" s="25" t="str">
        <f>IF(T17&lt;0,-#REF!/T17," ")</f>
        <v xml:space="preserve"> </v>
      </c>
      <c r="AD34" s="27" t="e">
        <f>IF(#REF!&lt;0,-#REF!/#REF!," ")</f>
        <v>#REF!</v>
      </c>
      <c r="AE34" s="4"/>
      <c r="AI34" s="13"/>
    </row>
    <row r="35" spans="3:35" x14ac:dyDescent="0.2">
      <c r="C35" s="4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25" t="str">
        <f>IF(AC18&lt;0,-#REF!/AC18," ")</f>
        <v xml:space="preserve"> </v>
      </c>
      <c r="AF35" s="12"/>
      <c r="AG35" s="12"/>
      <c r="AH35" s="12"/>
      <c r="AI35" s="12"/>
    </row>
    <row r="36" spans="3:35" x14ac:dyDescent="0.2">
      <c r="C36" s="18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5"/>
    </row>
    <row r="37" spans="3:35" x14ac:dyDescent="0.2">
      <c r="C37" s="4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6"/>
      <c r="U37" s="6"/>
      <c r="V37" s="6"/>
      <c r="W37" s="6"/>
      <c r="X37" s="6"/>
      <c r="Y37" s="6"/>
      <c r="Z37" s="6"/>
      <c r="AA37" s="6"/>
      <c r="AB37" s="6"/>
      <c r="AC37" s="6"/>
      <c r="AD37" s="5"/>
      <c r="AI37" s="13"/>
    </row>
    <row r="38" spans="3:35" x14ac:dyDescent="0.2">
      <c r="C38" s="4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6"/>
      <c r="AA38" s="6"/>
      <c r="AB38" s="6"/>
      <c r="AC38" s="6"/>
      <c r="AD38" s="6"/>
      <c r="AI38" s="13"/>
    </row>
    <row r="39" spans="3:35" x14ac:dyDescent="0.2">
      <c r="C39" s="1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5"/>
      <c r="U39" s="5"/>
      <c r="V39" s="5"/>
      <c r="W39" s="5"/>
      <c r="X39" s="5"/>
      <c r="Y39" s="5"/>
      <c r="Z39" s="5"/>
      <c r="AA39" s="5"/>
      <c r="AB39" s="5"/>
      <c r="AC39" s="5"/>
      <c r="AD39" s="6"/>
      <c r="AF39" s="12"/>
      <c r="AG39" s="12"/>
      <c r="AH39" s="12"/>
      <c r="AI39" s="12"/>
    </row>
    <row r="40" spans="3:35" x14ac:dyDescent="0.2">
      <c r="C40" s="4"/>
      <c r="D40" s="3"/>
      <c r="E40" s="6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6"/>
      <c r="U40" s="6"/>
      <c r="V40" s="6"/>
      <c r="W40" s="6"/>
      <c r="X40" s="6"/>
      <c r="Y40" s="6"/>
      <c r="Z40" s="5"/>
      <c r="AA40" s="5"/>
      <c r="AB40" s="5"/>
      <c r="AC40" s="5"/>
      <c r="AD40" s="5"/>
      <c r="AF40" s="12"/>
      <c r="AG40" s="12"/>
      <c r="AH40" s="12"/>
      <c r="AI40" s="12"/>
    </row>
    <row r="41" spans="3:35" x14ac:dyDescent="0.2">
      <c r="C41" s="4"/>
      <c r="D41" s="3"/>
      <c r="E41" s="6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</row>
    <row r="42" spans="3:35" x14ac:dyDescent="0.2">
      <c r="C42" s="18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I42" s="13"/>
    </row>
    <row r="43" spans="3:35" x14ac:dyDescent="0.2">
      <c r="C43" s="4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I43" s="13"/>
    </row>
    <row r="44" spans="3:35" x14ac:dyDescent="0.2">
      <c r="C44" s="4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</row>
    <row r="45" spans="3:35" x14ac:dyDescent="0.2">
      <c r="C45" s="14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5"/>
      <c r="U45" s="5"/>
      <c r="V45" s="5"/>
      <c r="W45" s="5"/>
      <c r="X45" s="5"/>
      <c r="Y45" s="5"/>
      <c r="Z45" s="6"/>
      <c r="AA45" s="6"/>
      <c r="AB45" s="6"/>
      <c r="AC45" s="6"/>
      <c r="AD45" s="6"/>
    </row>
    <row r="46" spans="3:35" x14ac:dyDescent="0.2">
      <c r="C46" s="4"/>
      <c r="D46" s="3"/>
      <c r="E46" s="6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6"/>
      <c r="U46" s="6"/>
      <c r="V46" s="6"/>
      <c r="W46" s="6"/>
      <c r="X46" s="6"/>
      <c r="Y46" s="6"/>
      <c r="Z46" s="5"/>
      <c r="AA46" s="5"/>
      <c r="AB46" s="5"/>
      <c r="AC46" s="5"/>
      <c r="AD46" s="6"/>
    </row>
    <row r="47" spans="3:35" x14ac:dyDescent="0.2">
      <c r="C47" s="4"/>
      <c r="D47" s="3"/>
      <c r="E47" s="6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6"/>
      <c r="U47" s="6"/>
      <c r="V47" s="6"/>
      <c r="W47" s="6"/>
      <c r="X47" s="6"/>
      <c r="Y47" s="6"/>
      <c r="Z47" s="6"/>
      <c r="AA47" s="6"/>
      <c r="AB47" s="6"/>
      <c r="AC47" s="6"/>
      <c r="AD47" s="5"/>
    </row>
    <row r="48" spans="3:35" x14ac:dyDescent="0.2">
      <c r="C48" s="18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</row>
    <row r="49" spans="3:30" x14ac:dyDescent="0.2">
      <c r="C49" s="14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</row>
    <row r="50" spans="3:30" x14ac:dyDescent="0.2">
      <c r="C50" s="4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</row>
    <row r="51" spans="3:30" x14ac:dyDescent="0.2">
      <c r="C51" s="4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</row>
    <row r="52" spans="3:30" x14ac:dyDescent="0.2">
      <c r="C52" s="14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5"/>
      <c r="U52" s="5"/>
      <c r="V52" s="5"/>
      <c r="W52" s="5"/>
      <c r="X52" s="5"/>
      <c r="Y52" s="5"/>
      <c r="Z52" s="6"/>
      <c r="AA52" s="6"/>
      <c r="AB52" s="6"/>
      <c r="AC52" s="6"/>
      <c r="AD52" s="6"/>
    </row>
    <row r="53" spans="3:30" x14ac:dyDescent="0.2">
      <c r="C53" s="4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5"/>
      <c r="AA53" s="5"/>
      <c r="AB53" s="5"/>
      <c r="AC53" s="5"/>
      <c r="AD53" s="6"/>
    </row>
    <row r="54" spans="3:30" x14ac:dyDescent="0.2">
      <c r="C54" s="4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5"/>
    </row>
    <row r="55" spans="3:30" x14ac:dyDescent="0.2">
      <c r="C55" s="18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</row>
    <row r="56" spans="3:30" x14ac:dyDescent="0.2">
      <c r="C56" s="14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</row>
    <row r="57" spans="3:30" x14ac:dyDescent="0.2">
      <c r="C57" s="15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</row>
    <row r="58" spans="3:30" x14ac:dyDescent="0.2">
      <c r="C58" s="4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Z58" s="6"/>
      <c r="AA58" s="6"/>
      <c r="AB58" s="6"/>
      <c r="AC58" s="6"/>
      <c r="AD58" s="6"/>
    </row>
    <row r="59" spans="3:30" x14ac:dyDescent="0.2">
      <c r="C59" s="4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AD59" s="6"/>
    </row>
    <row r="60" spans="3:30" x14ac:dyDescent="0.2">
      <c r="C60" s="14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5"/>
      <c r="U60" s="5"/>
      <c r="V60" s="5"/>
      <c r="W60" s="5"/>
      <c r="X60" s="5"/>
      <c r="Y60" s="5"/>
      <c r="Z60" s="5"/>
      <c r="AA60" s="5"/>
      <c r="AB60" s="5"/>
      <c r="AC60" s="5"/>
      <c r="AD60" s="13"/>
    </row>
    <row r="61" spans="3:30" x14ac:dyDescent="0.2">
      <c r="C61" s="4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5"/>
      <c r="AA61" s="5"/>
      <c r="AB61" s="5"/>
      <c r="AC61" s="5"/>
      <c r="AD61" s="5"/>
    </row>
    <row r="62" spans="3:30" x14ac:dyDescent="0.2">
      <c r="C62" s="4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5"/>
    </row>
    <row r="63" spans="3:30" x14ac:dyDescent="0.2">
      <c r="C63" s="18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</row>
    <row r="64" spans="3:30" x14ac:dyDescent="0.2">
      <c r="C64" s="14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</row>
    <row r="65" spans="3:30" x14ac:dyDescent="0.2">
      <c r="C65" s="14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</row>
    <row r="66" spans="3:30" x14ac:dyDescent="0.2">
      <c r="C66" s="4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</row>
    <row r="67" spans="3:30" x14ac:dyDescent="0.2">
      <c r="C67" s="4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</row>
    <row r="68" spans="3:30" x14ac:dyDescent="0.2">
      <c r="C68" s="4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</row>
    <row r="69" spans="3:30" x14ac:dyDescent="0.2">
      <c r="C69" s="4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</row>
    <row r="70" spans="3:30" x14ac:dyDescent="0.2">
      <c r="C70" s="4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</row>
    <row r="71" spans="3:30" x14ac:dyDescent="0.2">
      <c r="C71" s="14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5"/>
      <c r="U71" s="5"/>
      <c r="V71" s="5"/>
      <c r="W71" s="5"/>
      <c r="X71" s="5"/>
      <c r="Y71" s="5"/>
      <c r="Z71" s="6"/>
      <c r="AA71" s="6"/>
      <c r="AB71" s="6"/>
      <c r="AC71" s="6"/>
      <c r="AD71" s="6"/>
    </row>
    <row r="72" spans="3:30" x14ac:dyDescent="0.2">
      <c r="C72" s="4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5"/>
      <c r="AA72" s="5"/>
      <c r="AB72" s="5"/>
      <c r="AC72" s="5"/>
      <c r="AD72" s="6"/>
    </row>
    <row r="73" spans="3:30" x14ac:dyDescent="0.2">
      <c r="C73" s="4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5"/>
    </row>
    <row r="74" spans="3:30" x14ac:dyDescent="0.2">
      <c r="C74" s="4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</row>
    <row r="75" spans="3:30" x14ac:dyDescent="0.2">
      <c r="C75" s="4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</row>
    <row r="76" spans="3:30" x14ac:dyDescent="0.2">
      <c r="C76" s="4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</row>
    <row r="77" spans="3:30" x14ac:dyDescent="0.2">
      <c r="C77" s="14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5"/>
      <c r="U77" s="5"/>
      <c r="V77" s="5"/>
      <c r="W77" s="5"/>
      <c r="X77" s="5"/>
      <c r="Y77" s="5"/>
      <c r="Z77" s="6"/>
      <c r="AA77" s="6"/>
      <c r="AB77" s="6"/>
      <c r="AC77" s="6"/>
      <c r="AD77" s="6"/>
    </row>
    <row r="78" spans="3:30" x14ac:dyDescent="0.2">
      <c r="C78" s="4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5"/>
      <c r="AA78" s="5"/>
      <c r="AB78" s="5"/>
      <c r="AC78" s="5"/>
      <c r="AD78" s="6"/>
    </row>
    <row r="79" spans="3:30" x14ac:dyDescent="0.2">
      <c r="C79" s="4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5"/>
    </row>
    <row r="80" spans="3:30" x14ac:dyDescent="0.2">
      <c r="C80" s="4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</row>
    <row r="81" spans="3:30" x14ac:dyDescent="0.2">
      <c r="C81" s="4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6"/>
      <c r="AA81" s="6"/>
      <c r="AB81" s="6"/>
      <c r="AC81" s="6"/>
      <c r="AD81" s="6"/>
    </row>
    <row r="82" spans="3:30" x14ac:dyDescent="0.2">
      <c r="C82" s="14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5"/>
      <c r="U82" s="5"/>
      <c r="V82" s="5"/>
      <c r="W82" s="5"/>
      <c r="X82" s="5"/>
      <c r="Y82" s="5"/>
      <c r="Z82" s="5"/>
      <c r="AA82" s="5"/>
      <c r="AB82" s="5"/>
      <c r="AC82" s="5"/>
      <c r="AD82" s="6"/>
    </row>
    <row r="83" spans="3:30" x14ac:dyDescent="0.2">
      <c r="C83" s="4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5"/>
      <c r="AA83" s="5"/>
      <c r="AB83" s="5"/>
      <c r="AC83" s="5"/>
      <c r="AD83" s="5"/>
    </row>
    <row r="84" spans="3:30" x14ac:dyDescent="0.2">
      <c r="C84" s="4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5"/>
    </row>
    <row r="85" spans="3:30" x14ac:dyDescent="0.2">
      <c r="C85" s="4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</row>
    <row r="86" spans="3:30" x14ac:dyDescent="0.2"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</row>
    <row r="87" spans="3:30" x14ac:dyDescent="0.2">
      <c r="C87" s="4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Z87" s="6"/>
      <c r="AA87" s="6"/>
      <c r="AB87" s="6"/>
      <c r="AC87" s="6"/>
      <c r="AD87" s="6"/>
    </row>
    <row r="88" spans="3:30" x14ac:dyDescent="0.2">
      <c r="C88" s="14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5"/>
      <c r="U88" s="5"/>
      <c r="V88" s="5"/>
      <c r="W88" s="5"/>
      <c r="X88" s="5"/>
      <c r="Y88" s="5"/>
      <c r="AD88" s="6"/>
    </row>
    <row r="89" spans="3:30" x14ac:dyDescent="0.2">
      <c r="C89" s="4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5"/>
      <c r="AA89" s="5"/>
      <c r="AB89" s="5"/>
      <c r="AC89" s="5"/>
    </row>
    <row r="90" spans="3:30" x14ac:dyDescent="0.2">
      <c r="C90" s="4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5"/>
    </row>
    <row r="91" spans="3:30" x14ac:dyDescent="0.2">
      <c r="C91" s="4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</row>
    <row r="92" spans="3:30" x14ac:dyDescent="0.2">
      <c r="C92" s="4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</row>
    <row r="93" spans="3:30" x14ac:dyDescent="0.2"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</row>
    <row r="94" spans="3:30" x14ac:dyDescent="0.2">
      <c r="Z94" s="6"/>
      <c r="AA94" s="6"/>
      <c r="AB94" s="6"/>
      <c r="AC94" s="6"/>
      <c r="AD94" s="6"/>
    </row>
    <row r="95" spans="3:30" x14ac:dyDescent="0.2">
      <c r="AD95" s="6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ivot">
                <anchor moveWithCells="1" sizeWithCells="1">
                  <from>
                    <xdr:col>3</xdr:col>
                    <xdr:colOff>76200</xdr:colOff>
                    <xdr:row>2</xdr:row>
                    <xdr:rowOff>38100</xdr:rowOff>
                  </from>
                  <to>
                    <xdr:col>4</xdr:col>
                    <xdr:colOff>76200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VisSomBrøker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723900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VisSomDecimaltal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1"/>
  <dimension ref="A2:E12"/>
  <sheetViews>
    <sheetView workbookViewId="0">
      <selection activeCell="B30" sqref="B30"/>
    </sheetView>
  </sheetViews>
  <sheetFormatPr baseColWidth="10" defaultColWidth="8.83203125" defaultRowHeight="15" x14ac:dyDescent="0.2"/>
  <sheetData>
    <row r="2" spans="1:5" x14ac:dyDescent="0.2">
      <c r="A2" t="s">
        <v>5</v>
      </c>
      <c r="B2">
        <v>2</v>
      </c>
      <c r="C2">
        <v>0</v>
      </c>
    </row>
    <row r="3" spans="1:5" x14ac:dyDescent="0.2">
      <c r="B3">
        <v>1</v>
      </c>
      <c r="C3">
        <v>1</v>
      </c>
    </row>
    <row r="5" spans="1:5" x14ac:dyDescent="0.2">
      <c r="A5" s="1" t="s">
        <v>6</v>
      </c>
      <c r="B5">
        <f t="array" ref="B5:C6">MINVERSE(B2:C3)</f>
        <v>0.5</v>
      </c>
      <c r="C5">
        <v>0</v>
      </c>
    </row>
    <row r="6" spans="1:5" x14ac:dyDescent="0.2">
      <c r="B6">
        <v>-0.5</v>
      </c>
      <c r="C6">
        <v>1</v>
      </c>
    </row>
    <row r="8" spans="1:5" x14ac:dyDescent="0.2">
      <c r="A8" t="s">
        <v>7</v>
      </c>
      <c r="B8">
        <v>2</v>
      </c>
      <c r="C8">
        <v>0</v>
      </c>
      <c r="D8">
        <v>1</v>
      </c>
      <c r="E8">
        <v>1</v>
      </c>
    </row>
    <row r="9" spans="1:5" x14ac:dyDescent="0.2">
      <c r="B9">
        <v>1</v>
      </c>
      <c r="C9">
        <v>1</v>
      </c>
      <c r="D9">
        <v>0</v>
      </c>
      <c r="E9">
        <v>2</v>
      </c>
    </row>
    <row r="11" spans="1:5" x14ac:dyDescent="0.2">
      <c r="A11" t="s">
        <v>8</v>
      </c>
      <c r="B11">
        <f t="array" ref="B11:E12">MMULT(B5:C6,B8:E9)</f>
        <v>1</v>
      </c>
      <c r="C11">
        <v>0</v>
      </c>
      <c r="D11">
        <v>0.5</v>
      </c>
      <c r="E11">
        <v>0.5</v>
      </c>
    </row>
    <row r="12" spans="1:5" x14ac:dyDescent="0.2">
      <c r="B12">
        <v>0</v>
      </c>
      <c r="C12">
        <v>1</v>
      </c>
      <c r="D12">
        <v>-0.5</v>
      </c>
      <c r="E12">
        <v>1.5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Sheet1</vt:lpstr>
      <vt:lpstr>Ark1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Teodoridis</dc:creator>
  <cp:lastModifiedBy>Asger Konradi Lauridsen</cp:lastModifiedBy>
  <dcterms:created xsi:type="dcterms:W3CDTF">2006-09-16T00:00:00Z</dcterms:created>
  <dcterms:modified xsi:type="dcterms:W3CDTF">2025-01-19T16:33:24Z</dcterms:modified>
</cp:coreProperties>
</file>