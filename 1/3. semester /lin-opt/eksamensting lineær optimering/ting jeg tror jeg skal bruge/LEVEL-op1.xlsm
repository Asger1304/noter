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2" codeName="{857A39E2-67AF-9BA6-E15C-A4B3A0C75593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asgeraircool/Desktop/lin-opt/eksamensting lineær optimering/ting jeg tror jeg skal bruge/"/>
    </mc:Choice>
  </mc:AlternateContent>
  <xr:revisionPtr revIDLastSave="0" documentId="8_{915BF5F0-F23D-FA42-A7A2-4E032E80AB69}" xr6:coauthVersionLast="47" xr6:coauthVersionMax="47" xr10:uidLastSave="{00000000-0000-0000-0000-000000000000}"/>
  <bookViews>
    <workbookView xWindow="0" yWindow="740" windowWidth="29400" windowHeight="18380" xr2:uid="{00000000-000D-0000-FFFF-FFFF00000000}"/>
  </bookViews>
  <sheets>
    <sheet name="Sheet1" sheetId="1" r:id="rId1"/>
    <sheet name="Ark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8" i="1" l="1"/>
  <c r="E19" i="1"/>
  <c r="E21" i="1"/>
  <c r="E22" i="1"/>
  <c r="E26" i="1"/>
  <c r="E27" i="1"/>
  <c r="E28" i="1"/>
  <c r="E29" i="1"/>
  <c r="E30" i="1"/>
  <c r="B5" i="2" a="1"/>
  <c r="B5" i="2" s="1"/>
  <c r="B16" i="2" s="1" a="1"/>
  <c r="B16" i="2" s="1"/>
  <c r="R19" i="1"/>
  <c r="S20" i="1"/>
  <c r="R20" i="1"/>
  <c r="S21" i="1"/>
  <c r="R21" i="1"/>
  <c r="S22" i="1"/>
  <c r="R22" i="1"/>
  <c r="S23" i="1"/>
  <c r="R23" i="1"/>
  <c r="S24" i="1"/>
  <c r="R27" i="1"/>
  <c r="S28" i="1"/>
  <c r="R28" i="1"/>
  <c r="S29" i="1"/>
  <c r="R29" i="1"/>
  <c r="S30" i="1"/>
  <c r="R30" i="1"/>
  <c r="S31" i="1"/>
  <c r="R31" i="1"/>
  <c r="S3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<sst xmlns="http://schemas.openxmlformats.org/spreadsheetml/2006/main" count="35" uniqueCount="21">
  <si>
    <t>Basisvar.</t>
  </si>
  <si>
    <t>x1</t>
  </si>
  <si>
    <t>x2</t>
  </si>
  <si>
    <r>
      <t>LEVEL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ysgaards simpl</t>
    </r>
    <r>
      <rPr>
        <b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x-pi</t>
    </r>
    <r>
      <rPr>
        <b/>
        <sz val="11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scheme val="minor"/>
      </rPr>
      <t xml:space="preserve">otering i </t>
    </r>
    <r>
      <rPr>
        <b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xce</t>
    </r>
    <r>
      <rPr>
        <b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): En procedure til simplex-pivotering i Excel/VBA, v. 1.0, september 2015 / Jens Lysgaard</t>
    </r>
  </si>
  <si>
    <t>Nyt januar 2018: nu med mulighed for simplex med en ukendt reel parameter.</t>
  </si>
  <si>
    <t>B</t>
  </si>
  <si>
    <t>A</t>
  </si>
  <si>
    <t>A^bar</t>
  </si>
  <si>
    <t>x3</t>
  </si>
  <si>
    <t>Primal</t>
  </si>
  <si>
    <t>Dual</t>
  </si>
  <si>
    <t>x4</t>
  </si>
  <si>
    <t>red. omk</t>
  </si>
  <si>
    <t>RHS</t>
  </si>
  <si>
    <t>b^-1</t>
  </si>
  <si>
    <t>x5</t>
  </si>
  <si>
    <t>x6</t>
  </si>
  <si>
    <t>y1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</si>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</sst>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kr.&quot;_-;\-* #,##0.00\ &quot;kr.&quot;_-;_-* &quot;-&quot;??\ &quot;kr.&quot;_-;_-@_-"/>
    <numFmt numFmtId="164" formatCode="???/???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5D9F1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38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4" fontId="8" fillId="0" borderId="0" applyFont="0" applyFill="0" applyBorder="0" applyAlignment="0" applyProtection="0"/>
  </cellStyleXfs>
  <cellXfs count="31">
    <xf numFmtId="0" fontId="0" fillId="0" borderId="0" xfId="0"/>
    <xf numFmtId="12" fontId="6" fillId="0" borderId="0" xfId="37" applyNumberFormat="1" applyFont="1" applyFill="1" applyBorder="1" applyAlignment="1">
      <alignment horizontal="right" vertical="center" wrapText="1"/>
    </xf>
    <xf numFmtId="12" fontId="7" fillId="0" borderId="0" xfId="0" applyNumberFormat="1" applyFont="1" applyAlignment="1">
      <alignment horizontal="center" vertical="center" wrapText="1"/>
    </xf>
    <xf numFmtId="12" fontId="7" fillId="0" borderId="0" xfId="0" applyNumberFormat="1" applyFont="1" applyAlignment="1">
      <alignment horizontal="right" vertical="center" wrapText="1"/>
    </xf>
    <xf numFmtId="12" fontId="6" fillId="0" borderId="0" xfId="0" applyNumberFormat="1" applyFont="1" applyAlignment="1">
      <alignment horizontal="right" vertical="center" wrapText="1"/>
    </xf>
    <xf numFmtId="2" fontId="7" fillId="0" borderId="0" xfId="0" applyNumberFormat="1" applyFont="1" applyAlignment="1">
      <alignment horizontal="center" vertical="center" wrapText="1"/>
    </xf>
    <xf numFmtId="2" fontId="7" fillId="0" borderId="0" xfId="0" applyNumberFormat="1" applyFont="1" applyAlignment="1">
      <alignment horizontal="right" vertical="center" wrapText="1"/>
    </xf>
    <xf numFmtId="2" fontId="7" fillId="2" borderId="0" xfId="0" applyNumberFormat="1" applyFont="1" applyFill="1" applyAlignment="1">
      <alignment horizontal="right" vertical="center" wrapText="1"/>
    </xf>
    <xf numFmtId="2" fontId="1" fillId="0" borderId="0" xfId="0" applyNumberFormat="1" applyFont="1" applyAlignment="1">
      <alignment vertical="center" wrapText="1"/>
    </xf>
    <xf numFmtId="2" fontId="7" fillId="3" borderId="0" xfId="0" applyNumberFormat="1" applyFont="1" applyFill="1" applyAlignment="1">
      <alignment horizontal="center" vertical="center" wrapText="1"/>
    </xf>
    <xf numFmtId="12" fontId="0" fillId="0" borderId="0" xfId="0" applyNumberFormat="1"/>
    <xf numFmtId="12" fontId="1" fillId="0" borderId="0" xfId="0" applyNumberFormat="1" applyFont="1" applyAlignment="1">
      <alignment horizontal="right"/>
    </xf>
    <xf numFmtId="12" fontId="0" fillId="0" borderId="0" xfId="0" applyNumberFormat="1" applyAlignment="1">
      <alignment horizontal="center"/>
    </xf>
    <xf numFmtId="12" fontId="0" fillId="0" borderId="0" xfId="0" applyNumberFormat="1" applyAlignment="1">
      <alignment vertical="center" wrapText="1"/>
    </xf>
    <xf numFmtId="12" fontId="1" fillId="0" borderId="0" xfId="0" applyNumberFormat="1" applyFont="1" applyAlignment="1">
      <alignment horizontal="center"/>
    </xf>
    <xf numFmtId="12" fontId="1" fillId="0" borderId="0" xfId="0" applyNumberFormat="1" applyFont="1"/>
    <xf numFmtId="12" fontId="1" fillId="0" borderId="0" xfId="0" applyNumberFormat="1" applyFont="1" applyAlignment="1">
      <alignment vertical="center" wrapText="1"/>
    </xf>
    <xf numFmtId="12" fontId="6" fillId="0" borderId="0" xfId="0" applyNumberFormat="1" applyFont="1" applyAlignment="1">
      <alignment vertical="center" wrapText="1"/>
    </xf>
    <xf numFmtId="164" fontId="6" fillId="0" borderId="0" xfId="0" applyNumberFormat="1" applyFont="1" applyAlignment="1">
      <alignment horizontal="right" vertical="center" wrapText="1"/>
    </xf>
    <xf numFmtId="164" fontId="6" fillId="0" borderId="0" xfId="0" quotePrefix="1" applyNumberFormat="1" applyFont="1" applyAlignment="1">
      <alignment horizontal="right" vertical="center" wrapText="1"/>
    </xf>
    <xf numFmtId="164" fontId="6" fillId="2" borderId="0" xfId="0" applyNumberFormat="1" applyFont="1" applyFill="1" applyAlignment="1">
      <alignment horizontal="right" vertical="center" wrapText="1"/>
    </xf>
    <xf numFmtId="164" fontId="6" fillId="3" borderId="0" xfId="0" applyNumberFormat="1" applyFont="1" applyFill="1" applyAlignment="1">
      <alignment horizontal="right" vertical="center" wrapText="1"/>
    </xf>
    <xf numFmtId="164" fontId="6" fillId="3" borderId="0" xfId="37" applyNumberFormat="1" applyFont="1" applyFill="1" applyBorder="1" applyAlignment="1">
      <alignment horizontal="right" vertical="center" wrapText="1"/>
    </xf>
    <xf numFmtId="164" fontId="0" fillId="3" borderId="1" xfId="0" applyNumberFormat="1" applyFill="1" applyBorder="1"/>
    <xf numFmtId="164" fontId="0" fillId="3" borderId="2" xfId="0" applyNumberFormat="1" applyFill="1" applyBorder="1"/>
    <xf numFmtId="164" fontId="0" fillId="0" borderId="3" xfId="0" applyNumberFormat="1" applyBorder="1"/>
    <xf numFmtId="164" fontId="0" fillId="0" borderId="0" xfId="0" applyNumberFormat="1"/>
    <xf numFmtId="164" fontId="0" fillId="3" borderId="3" xfId="0" applyNumberFormat="1" applyFill="1" applyBorder="1"/>
    <xf numFmtId="164" fontId="0" fillId="3" borderId="0" xfId="0" applyNumberFormat="1" applyFill="1"/>
    <xf numFmtId="164" fontId="0" fillId="0" borderId="0" xfId="0" applyNumberFormat="1" applyBorder="1"/>
    <xf numFmtId="164" fontId="0" fillId="3" borderId="0" xfId="0" applyNumberFormat="1" applyFill="1" applyBorder="1"/>
  </cellXfs>
  <cellStyles count="38">
    <cellStyle name="Besøgt link" xfId="2" builtinId="9" hidden="1"/>
    <cellStyle name="Besøgt link" xfId="4" builtinId="9" hidden="1"/>
    <cellStyle name="Besøgt link" xfId="6" builtinId="9" hidden="1"/>
    <cellStyle name="Besøgt link" xfId="8" builtinId="9" hidden="1"/>
    <cellStyle name="Besøgt link" xfId="10" builtinId="9" hidden="1"/>
    <cellStyle name="Besøgt link" xfId="12" builtinId="9" hidden="1"/>
    <cellStyle name="Besøgt link" xfId="14" builtinId="9" hidden="1"/>
    <cellStyle name="Besøgt link" xfId="16" builtinId="9" hidden="1"/>
    <cellStyle name="Besøgt link" xfId="18" builtinId="9" hidden="1"/>
    <cellStyle name="Besøgt link" xfId="20" builtinId="9" hidden="1"/>
    <cellStyle name="Besøgt link" xfId="22" builtinId="9" hidden="1"/>
    <cellStyle name="Besøgt link" xfId="24" builtinId="9" hidden="1"/>
    <cellStyle name="Besøgt link" xfId="26" builtinId="9" hidden="1"/>
    <cellStyle name="Besøgt link" xfId="28" builtinId="9" hidden="1"/>
    <cellStyle name="Besøgt link" xfId="30" builtinId="9" hidden="1"/>
    <cellStyle name="Besøgt link" xfId="32" builtinId="9" hidden="1"/>
    <cellStyle name="Besøgt link" xfId="34" builtinId="9" hidden="1"/>
    <cellStyle name="Besøgt link" xfId="36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Link" xfId="17" builtinId="8" hidden="1"/>
    <cellStyle name="Link" xfId="19" builtinId="8" hidden="1"/>
    <cellStyle name="Link" xfId="21" builtinId="8" hidden="1"/>
    <cellStyle name="Link" xfId="23" builtinId="8" hidden="1"/>
    <cellStyle name="Link" xfId="25" builtinId="8" hidden="1"/>
    <cellStyle name="Link" xfId="27" builtinId="8" hidden="1"/>
    <cellStyle name="Link" xfId="29" builtinId="8" hidden="1"/>
    <cellStyle name="Link" xfId="31" builtinId="8" hidden="1"/>
    <cellStyle name="Link" xfId="33" builtinId="8" hidden="1"/>
    <cellStyle name="Link" xfId="35" builtinId="8" hidden="1"/>
    <cellStyle name="Normal" xfId="0" builtinId="0"/>
    <cellStyle name="Valuta" xfId="37" builtin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customXml" Target="../ink/ink4.xml"/><Relationship Id="rId4" Type="http://schemas.openxmlformats.org/officeDocument/2006/relationships/customXml" Target="../ink/ink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373530</xdr:colOff>
          <xdr:row>1</xdr:row>
          <xdr:rowOff>104589</xdr:rowOff>
        </xdr:from>
        <xdr:to>
          <xdr:col>3</xdr:col>
          <xdr:colOff>14942</xdr:colOff>
          <xdr:row>2</xdr:row>
          <xdr:rowOff>104588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som brøker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141942</xdr:colOff>
          <xdr:row>3</xdr:row>
          <xdr:rowOff>29883</xdr:rowOff>
        </xdr:from>
        <xdr:to>
          <xdr:col>3</xdr:col>
          <xdr:colOff>440766</xdr:colOff>
          <xdr:row>4</xdr:row>
          <xdr:rowOff>29883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som decimaltal</a:t>
              </a:r>
            </a:p>
          </xdr:txBody>
        </xdr:sp>
        <xdr:clientData fPrintsWithSheet="0"/>
      </xdr:twoCellAnchor>
    </mc:Choice>
    <mc:Fallback/>
  </mc:AlternateContent>
  <xdr:oneCellAnchor>
    <xdr:from>
      <xdr:col>18</xdr:col>
      <xdr:colOff>725950</xdr:colOff>
      <xdr:row>53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6" name="Ink 1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18</xdr:col>
      <xdr:colOff>725950</xdr:colOff>
      <xdr:row>59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1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18</xdr:col>
      <xdr:colOff>725950</xdr:colOff>
      <xdr:row>65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9" name="Ink 1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18</xdr:col>
      <xdr:colOff>725950</xdr:colOff>
      <xdr:row>71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Ink 1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292847</xdr:colOff>
          <xdr:row>2</xdr:row>
          <xdr:rowOff>157629</xdr:rowOff>
        </xdr:from>
        <xdr:to>
          <xdr:col>2</xdr:col>
          <xdr:colOff>8964</xdr:colOff>
          <xdr:row>4</xdr:row>
          <xdr:rowOff>157629</xdr:rowOff>
        </xdr:to>
        <xdr:sp macro="" textlink="">
          <xdr:nvSpPr>
            <xdr:cNvPr id="1031" name="Button 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Pivotér</a:t>
              </a:r>
            </a:p>
          </xdr:txBody>
        </xdr:sp>
        <xdr:clientData fPrintsWithSheet="0"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1:57.2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2:06.8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2:20.9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2:42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92"/>
  <sheetViews>
    <sheetView tabSelected="1" topLeftCell="B1" zoomScale="138" zoomScaleNormal="91" workbookViewId="0">
      <pane ySplit="5" topLeftCell="A6" activePane="bottomLeft" state="frozen"/>
      <selection pane="bottomLeft" activeCell="I9" sqref="I9"/>
    </sheetView>
  </sheetViews>
  <sheetFormatPr baseColWidth="10" defaultColWidth="8.6640625" defaultRowHeight="15" x14ac:dyDescent="0.2"/>
  <cols>
    <col min="1" max="3" width="8.6640625" style="10"/>
    <col min="4" max="4" width="13.5" style="10" bestFit="1" customWidth="1"/>
    <col min="5" max="5" width="12.5" style="10" bestFit="1" customWidth="1"/>
    <col min="6" max="12" width="12.5" style="10" customWidth="1"/>
    <col min="13" max="17" width="13.5" style="10" customWidth="1"/>
    <col min="18" max="18" width="15.5" style="10" customWidth="1"/>
    <col min="19" max="19" width="14.33203125" style="10" customWidth="1"/>
    <col min="20" max="20" width="12.6640625" style="10" bestFit="1" customWidth="1"/>
    <col min="21" max="21" width="12.33203125" style="10" bestFit="1" customWidth="1"/>
    <col min="22" max="22" width="11.1640625" style="10" bestFit="1" customWidth="1"/>
    <col min="23" max="23" width="10.5" style="10" bestFit="1" customWidth="1"/>
    <col min="24" max="24" width="11.1640625" style="10" bestFit="1" customWidth="1"/>
    <col min="25" max="16384" width="8.6640625" style="10"/>
  </cols>
  <sheetData>
    <row r="1" spans="1:23" x14ac:dyDescent="0.2">
      <c r="A1" s="10" t="s">
        <v>3</v>
      </c>
    </row>
    <row r="2" spans="1:23" x14ac:dyDescent="0.2">
      <c r="R2" s="10" t="s">
        <v>4</v>
      </c>
    </row>
    <row r="6" spans="1:23" ht="16" x14ac:dyDescent="0.2">
      <c r="C6" s="5" t="s">
        <v>0</v>
      </c>
      <c r="D6" s="6" t="s">
        <v>1</v>
      </c>
      <c r="E6" s="6" t="s">
        <v>2</v>
      </c>
      <c r="F6" s="6" t="s">
        <v>8</v>
      </c>
      <c r="G6" s="6" t="s">
        <v>11</v>
      </c>
      <c r="H6" s="6" t="s">
        <v>15</v>
      </c>
      <c r="I6" s="6" t="s">
        <v>16</v>
      </c>
      <c r="J6" s="6" t="s">
        <v>18</v>
      </c>
      <c r="K6" s="6" t="s">
        <v>19</v>
      </c>
      <c r="L6" s="6" t="s">
        <v>20</v>
      </c>
      <c r="M6" s="7" t="s">
        <v>13</v>
      </c>
      <c r="O6" s="11"/>
      <c r="P6" s="11"/>
      <c r="Q6" s="11"/>
      <c r="R6" s="11"/>
    </row>
    <row r="7" spans="1:23" ht="16" x14ac:dyDescent="0.2">
      <c r="C7" s="8" t="s">
        <v>12</v>
      </c>
      <c r="D7" s="18">
        <v>0</v>
      </c>
      <c r="E7" s="18">
        <v>-0.33333333333333337</v>
      </c>
      <c r="F7" s="18">
        <v>0</v>
      </c>
      <c r="G7" s="18">
        <v>-0.66666666666666674</v>
      </c>
      <c r="H7" s="18">
        <v>-3.7007434154171889E-17</v>
      </c>
      <c r="I7" s="18">
        <v>0</v>
      </c>
      <c r="J7" s="18">
        <v>-0.66666666666666674</v>
      </c>
      <c r="K7" s="18">
        <v>0</v>
      </c>
      <c r="L7" s="18">
        <v>0</v>
      </c>
      <c r="M7" s="20">
        <v>-9.3333333333333339</v>
      </c>
    </row>
    <row r="8" spans="1:23" ht="16" x14ac:dyDescent="0.2">
      <c r="C8" s="9" t="s">
        <v>1</v>
      </c>
      <c r="D8" s="21">
        <v>1</v>
      </c>
      <c r="E8" s="22">
        <v>0.33333333333333337</v>
      </c>
      <c r="F8" s="22">
        <v>0</v>
      </c>
      <c r="G8" s="22">
        <v>0.66666666666666674</v>
      </c>
      <c r="H8" s="22">
        <v>3.7007434154171889E-17</v>
      </c>
      <c r="I8" s="22">
        <v>0</v>
      </c>
      <c r="J8" s="22">
        <v>-0.33333333333333337</v>
      </c>
      <c r="K8" s="22">
        <v>0</v>
      </c>
      <c r="L8" s="22">
        <v>0</v>
      </c>
      <c r="M8" s="20">
        <v>2.333333333333333</v>
      </c>
    </row>
    <row r="9" spans="1:23" ht="16" x14ac:dyDescent="0.2">
      <c r="C9" s="9" t="s">
        <v>16</v>
      </c>
      <c r="D9" s="21">
        <v>0</v>
      </c>
      <c r="E9" s="22">
        <v>-1.333333333333333</v>
      </c>
      <c r="F9" s="22">
        <v>0</v>
      </c>
      <c r="G9" s="22">
        <v>1.333333333333333</v>
      </c>
      <c r="H9" s="22">
        <v>-1.4802973661668751E-16</v>
      </c>
      <c r="I9" s="22">
        <v>1</v>
      </c>
      <c r="J9" s="22">
        <v>-1.6666666666666665</v>
      </c>
      <c r="K9" s="22">
        <v>0</v>
      </c>
      <c r="L9" s="22">
        <v>0</v>
      </c>
      <c r="M9" s="20">
        <v>0.66666666666666685</v>
      </c>
    </row>
    <row r="10" spans="1:23" ht="16" x14ac:dyDescent="0.2">
      <c r="C10" s="9" t="s">
        <v>8</v>
      </c>
      <c r="D10" s="21">
        <v>0</v>
      </c>
      <c r="E10" s="22">
        <v>0.99999999999999989</v>
      </c>
      <c r="F10" s="22">
        <v>1</v>
      </c>
      <c r="G10" s="22">
        <v>-0.99999999999999978</v>
      </c>
      <c r="H10" s="22">
        <v>1.1102230246251564E-16</v>
      </c>
      <c r="I10" s="22">
        <v>0</v>
      </c>
      <c r="J10" s="22">
        <v>0.99999999999999978</v>
      </c>
      <c r="K10" s="22">
        <v>0</v>
      </c>
      <c r="L10" s="22">
        <v>0</v>
      </c>
      <c r="M10" s="20">
        <v>0</v>
      </c>
    </row>
    <row r="11" spans="1:23" ht="16" x14ac:dyDescent="0.2">
      <c r="C11" s="9" t="s">
        <v>15</v>
      </c>
      <c r="D11" s="21">
        <v>0</v>
      </c>
      <c r="E11" s="22">
        <v>0.33333333333333337</v>
      </c>
      <c r="F11" s="22">
        <v>0</v>
      </c>
      <c r="G11" s="22">
        <v>0.66666666666666674</v>
      </c>
      <c r="H11" s="22">
        <v>1</v>
      </c>
      <c r="I11" s="22">
        <v>0</v>
      </c>
      <c r="J11" s="22">
        <v>-1.3333333333333333</v>
      </c>
      <c r="K11" s="22">
        <v>0</v>
      </c>
      <c r="L11" s="22">
        <v>0</v>
      </c>
      <c r="M11" s="20">
        <v>1.3333333333333335</v>
      </c>
    </row>
    <row r="12" spans="1:23" ht="16" x14ac:dyDescent="0.2">
      <c r="C12" s="9" t="s">
        <v>19</v>
      </c>
      <c r="D12" s="21">
        <v>0</v>
      </c>
      <c r="E12" s="22">
        <v>-0.33333333333333315</v>
      </c>
      <c r="F12" s="22">
        <v>0</v>
      </c>
      <c r="G12" s="22">
        <v>0.33333333333333298</v>
      </c>
      <c r="H12" s="22">
        <v>-1.4802973661668751E-16</v>
      </c>
      <c r="I12" s="22">
        <v>0</v>
      </c>
      <c r="J12" s="22">
        <v>-1.6666666666666665</v>
      </c>
      <c r="K12" s="22">
        <v>1</v>
      </c>
      <c r="L12" s="22">
        <v>0</v>
      </c>
      <c r="M12" s="20">
        <v>0.66666666666666685</v>
      </c>
    </row>
    <row r="13" spans="1:23" ht="16" x14ac:dyDescent="0.2">
      <c r="C13" s="9" t="s">
        <v>20</v>
      </c>
      <c r="D13" s="21">
        <v>0</v>
      </c>
      <c r="E13" s="22">
        <v>-0.66666666666666652</v>
      </c>
      <c r="F13" s="22">
        <v>0</v>
      </c>
      <c r="G13" s="22">
        <v>0.66666666666666641</v>
      </c>
      <c r="H13" s="22">
        <v>-7.4014868308343753E-17</v>
      </c>
      <c r="I13" s="22">
        <v>-5.5511151231257827E-17</v>
      </c>
      <c r="J13" s="22">
        <v>-2.333333333333333</v>
      </c>
      <c r="K13" s="22">
        <v>0</v>
      </c>
      <c r="L13" s="22">
        <v>1</v>
      </c>
      <c r="M13" s="20">
        <v>1.3333333333333335</v>
      </c>
    </row>
    <row r="14" spans="1:23" x14ac:dyDescent="0.2">
      <c r="C14" s="13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S14" s="12"/>
    </row>
    <row r="15" spans="1:23" x14ac:dyDescent="0.2">
      <c r="C15" s="13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W15" s="12"/>
    </row>
    <row r="16" spans="1:23" x14ac:dyDescent="0.2">
      <c r="C16" s="13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2"/>
      <c r="W16" s="12"/>
    </row>
    <row r="17" spans="3:24" x14ac:dyDescent="0.2">
      <c r="O17" s="4"/>
      <c r="P17" s="4"/>
      <c r="Q17" s="4"/>
      <c r="R17" s="4"/>
      <c r="S17" s="2"/>
      <c r="W17" s="12"/>
    </row>
    <row r="18" spans="3:24" ht="16" thickBot="1" x14ac:dyDescent="0.25">
      <c r="E18" s="11" t="str">
        <f>IF(D6="","",D6)</f>
        <v>x1</v>
      </c>
      <c r="F18" s="11"/>
      <c r="G18" s="11"/>
      <c r="H18" s="11"/>
      <c r="I18" s="11"/>
      <c r="J18" s="11"/>
      <c r="K18" s="11"/>
      <c r="L18" s="11"/>
      <c r="M18" s="11"/>
      <c r="N18" s="11"/>
      <c r="S18" s="2"/>
      <c r="W18" s="12"/>
    </row>
    <row r="19" spans="3:24" ht="16" thickBot="1" x14ac:dyDescent="0.25">
      <c r="C19" s="14"/>
      <c r="D19" s="15" t="s">
        <v>9</v>
      </c>
      <c r="E19" s="23" t="e">
        <f>IF(#REF!&gt;0,#REF!/#REF!," ")</f>
        <v>#REF!</v>
      </c>
      <c r="F19" s="24"/>
      <c r="G19" s="24"/>
      <c r="H19" s="24"/>
      <c r="I19" s="24"/>
      <c r="J19" s="24"/>
      <c r="K19" s="24"/>
      <c r="L19" s="24"/>
      <c r="M19" s="24"/>
      <c r="N19" s="24"/>
      <c r="O19" s="11"/>
      <c r="P19" s="11"/>
      <c r="Q19" s="11"/>
      <c r="R19" s="11" t="e">
        <f>IF(#REF!="","",#REF!)</f>
        <v>#REF!</v>
      </c>
      <c r="T19" s="2"/>
      <c r="X19" s="12"/>
    </row>
    <row r="20" spans="3:24" ht="16" thickBot="1" x14ac:dyDescent="0.25">
      <c r="C20" s="15"/>
      <c r="E20" s="25">
        <v>0</v>
      </c>
      <c r="F20" s="29"/>
      <c r="G20" s="29"/>
      <c r="H20" s="29"/>
      <c r="I20" s="29"/>
      <c r="J20" s="29"/>
      <c r="K20" s="29"/>
      <c r="L20" s="29"/>
      <c r="M20" s="26"/>
      <c r="N20" s="26"/>
      <c r="O20" s="24"/>
      <c r="P20" s="24"/>
      <c r="Q20" s="24"/>
      <c r="R20" s="24" t="e">
        <f>IF(#REF!&gt;0,#REF!/#REF!," ")</f>
        <v>#REF!</v>
      </c>
      <c r="S20" s="11" t="e">
        <f>IF(#REF!="","",#REF!)</f>
        <v>#REF!</v>
      </c>
      <c r="T20" s="2"/>
      <c r="X20" s="12"/>
    </row>
    <row r="21" spans="3:24" x14ac:dyDescent="0.2">
      <c r="C21" s="14"/>
      <c r="E21" s="27" t="e">
        <f>IF(#REF!&gt;0,#REF!/#REF!," ")</f>
        <v>#REF!</v>
      </c>
      <c r="F21" s="30"/>
      <c r="G21" s="30"/>
      <c r="H21" s="30"/>
      <c r="I21" s="30"/>
      <c r="J21" s="30"/>
      <c r="K21" s="30"/>
      <c r="L21" s="30"/>
      <c r="M21" s="28"/>
      <c r="N21" s="28"/>
      <c r="O21" s="26"/>
      <c r="P21" s="26"/>
      <c r="Q21" s="26"/>
      <c r="R21" s="26" t="e">
        <f>IF(#REF!&gt;0,#REF!/#REF!," ")</f>
        <v>#REF!</v>
      </c>
      <c r="S21" s="24" t="e">
        <f>IF(#REF!&gt;0,#REF!/#REF!," ")</f>
        <v>#REF!</v>
      </c>
      <c r="T21" s="16"/>
      <c r="U21" s="11"/>
      <c r="V21" s="11"/>
      <c r="W21" s="11"/>
      <c r="X21" s="11"/>
    </row>
    <row r="22" spans="3:24" x14ac:dyDescent="0.2">
      <c r="C22" s="14"/>
      <c r="D22" s="15"/>
      <c r="E22" s="25" t="str">
        <f>IF(D14&gt;0,#REF!/D14," ")</f>
        <v xml:space="preserve"> </v>
      </c>
      <c r="F22" s="29"/>
      <c r="G22" s="29"/>
      <c r="H22" s="29"/>
      <c r="I22" s="29"/>
      <c r="J22" s="29"/>
      <c r="K22" s="29"/>
      <c r="L22" s="29"/>
      <c r="M22" s="26"/>
      <c r="N22" s="26"/>
      <c r="O22" s="28"/>
      <c r="P22" s="28"/>
      <c r="Q22" s="28"/>
      <c r="R22" s="28" t="e">
        <f>IF(#REF!&gt;0,#REF!/#REF!," ")</f>
        <v>#REF!</v>
      </c>
      <c r="S22" s="26" t="e">
        <f>IF(#REF!&gt;0,#REF!/#REF!," ")</f>
        <v>#REF!</v>
      </c>
      <c r="T22" s="2"/>
      <c r="U22" s="11"/>
      <c r="V22" s="11"/>
      <c r="W22" s="11"/>
      <c r="X22" s="11"/>
    </row>
    <row r="23" spans="3:24" x14ac:dyDescent="0.2">
      <c r="C23" s="14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26"/>
      <c r="P23" s="26"/>
      <c r="Q23" s="26"/>
      <c r="R23" s="26" t="e">
        <f>IF(#REF!&gt;0,#REF!/#REF!," ")</f>
        <v>#REF!</v>
      </c>
      <c r="S23" s="28" t="e">
        <f>IF(#REF!&gt;0,#REF!/#REF!," ")</f>
        <v>#REF!</v>
      </c>
      <c r="T23" s="2"/>
    </row>
    <row r="24" spans="3:24" x14ac:dyDescent="0.2">
      <c r="C24" s="15"/>
      <c r="O24" s="11"/>
      <c r="P24" s="11"/>
      <c r="Q24" s="11"/>
      <c r="R24" s="11"/>
      <c r="S24" s="26" t="str">
        <f>IF(R15&gt;0,#REF!/R15," ")</f>
        <v xml:space="preserve"> </v>
      </c>
      <c r="T24" s="2"/>
      <c r="X24" s="12"/>
    </row>
    <row r="25" spans="3:24" x14ac:dyDescent="0.2">
      <c r="C25" s="14"/>
      <c r="S25" s="11"/>
      <c r="T25" s="2"/>
      <c r="X25" s="12"/>
    </row>
    <row r="26" spans="3:24" ht="16" thickBot="1" x14ac:dyDescent="0.25">
      <c r="C26" s="14"/>
      <c r="E26" s="11" t="str">
        <f>IF(D6="","",D6)</f>
        <v>x1</v>
      </c>
      <c r="F26" s="11"/>
      <c r="G26" s="11"/>
      <c r="H26" s="11"/>
      <c r="I26" s="11"/>
      <c r="J26" s="11"/>
      <c r="K26" s="11"/>
      <c r="L26" s="11"/>
      <c r="M26" s="11"/>
      <c r="N26" s="11"/>
      <c r="T26" s="16"/>
      <c r="U26" s="11"/>
      <c r="V26" s="11"/>
      <c r="W26" s="11"/>
      <c r="X26" s="11"/>
    </row>
    <row r="27" spans="3:24" ht="16" thickBot="1" x14ac:dyDescent="0.25">
      <c r="C27" s="14"/>
      <c r="D27" s="15" t="s">
        <v>10</v>
      </c>
      <c r="E27" s="23" t="e">
        <f>IF(#REF!&lt;0,-D$7/#REF!," ")</f>
        <v>#REF!</v>
      </c>
      <c r="F27" s="24"/>
      <c r="G27" s="24"/>
      <c r="H27" s="24"/>
      <c r="I27" s="24"/>
      <c r="J27" s="24"/>
      <c r="K27" s="24"/>
      <c r="L27" s="24"/>
      <c r="M27" s="24"/>
      <c r="N27" s="24"/>
      <c r="O27" s="11"/>
      <c r="P27" s="11"/>
      <c r="Q27" s="11"/>
      <c r="R27" s="11" t="e">
        <f>IF(#REF!="","",#REF!)</f>
        <v>#REF!</v>
      </c>
      <c r="T27" s="2"/>
      <c r="U27" s="11"/>
      <c r="V27" s="11"/>
      <c r="W27" s="11"/>
      <c r="X27" s="11"/>
    </row>
    <row r="28" spans="3:24" ht="16" thickBot="1" x14ac:dyDescent="0.25">
      <c r="C28" s="14"/>
      <c r="D28" s="14"/>
      <c r="E28" s="25" t="e">
        <f>IF(#REF!&lt;0,-D$7/#REF!," ")</f>
        <v>#REF!</v>
      </c>
      <c r="F28" s="29"/>
      <c r="G28" s="29"/>
      <c r="H28" s="29"/>
      <c r="I28" s="29"/>
      <c r="J28" s="29"/>
      <c r="K28" s="29"/>
      <c r="L28" s="29"/>
      <c r="M28" s="26"/>
      <c r="N28" s="26"/>
      <c r="O28" s="24"/>
      <c r="P28" s="24"/>
      <c r="Q28" s="24"/>
      <c r="R28" s="24" t="e">
        <f>IF(#REF!&lt;0,-#REF!/#REF!," ")</f>
        <v>#REF!</v>
      </c>
      <c r="S28" s="11" t="e">
        <f>IF(#REF!="","",#REF!)</f>
        <v>#REF!</v>
      </c>
      <c r="T28" s="2"/>
    </row>
    <row r="29" spans="3:24" x14ac:dyDescent="0.2">
      <c r="C29" s="2"/>
      <c r="D29" s="3"/>
      <c r="E29" s="27" t="e">
        <f>IF(#REF!&lt;0,-D$7/#REF!," ")</f>
        <v>#REF!</v>
      </c>
      <c r="F29" s="30"/>
      <c r="G29" s="30"/>
      <c r="H29" s="30"/>
      <c r="I29" s="30"/>
      <c r="J29" s="30"/>
      <c r="K29" s="30"/>
      <c r="L29" s="30"/>
      <c r="M29" s="28"/>
      <c r="N29" s="28"/>
      <c r="O29" s="26"/>
      <c r="P29" s="26"/>
      <c r="Q29" s="26"/>
      <c r="R29" s="26" t="e">
        <f>IF(#REF!&lt;0,-#REF!/#REF!," ")</f>
        <v>#REF!</v>
      </c>
      <c r="S29" s="24" t="e">
        <f>IF(#REF!&lt;0,-#REF!/#REF!," ")</f>
        <v>#REF!</v>
      </c>
      <c r="T29" s="2"/>
      <c r="X29" s="12"/>
    </row>
    <row r="30" spans="3:24" x14ac:dyDescent="0.2">
      <c r="C30" s="2"/>
      <c r="D30" s="3"/>
      <c r="E30" s="25" t="str">
        <f>IF(D14&lt;0,-D$7/D14," ")</f>
        <v xml:space="preserve"> </v>
      </c>
      <c r="F30" s="29"/>
      <c r="G30" s="29"/>
      <c r="H30" s="29"/>
      <c r="I30" s="29"/>
      <c r="J30" s="29"/>
      <c r="K30" s="29"/>
      <c r="L30" s="29"/>
      <c r="M30" s="26"/>
      <c r="N30" s="26"/>
      <c r="O30" s="28"/>
      <c r="P30" s="28"/>
      <c r="Q30" s="28"/>
      <c r="R30" s="28" t="e">
        <f>IF(#REF!&lt;0,-#REF!/#REF!," ")</f>
        <v>#REF!</v>
      </c>
      <c r="S30" s="26" t="e">
        <f>IF(#REF!&lt;0,-#REF!/#REF!," ")</f>
        <v>#REF!</v>
      </c>
      <c r="T30" s="2"/>
      <c r="X30" s="12"/>
    </row>
    <row r="31" spans="3:24" x14ac:dyDescent="0.2">
      <c r="C31" s="13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26"/>
      <c r="P31" s="26"/>
      <c r="Q31" s="26"/>
      <c r="R31" s="26" t="e">
        <f>IF(#REF!&lt;0,-#REF!/#REF!," ")</f>
        <v>#REF!</v>
      </c>
      <c r="S31" s="28" t="e">
        <f>IF(#REF!&lt;0,-#REF!/#REF!," ")</f>
        <v>#REF!</v>
      </c>
      <c r="T31" s="2"/>
      <c r="X31" s="12"/>
    </row>
    <row r="32" spans="3:24" x14ac:dyDescent="0.2">
      <c r="C32" s="2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26" t="str">
        <f>IF(R15&lt;0,-#REF!/R15," ")</f>
        <v xml:space="preserve"> </v>
      </c>
      <c r="U32" s="11"/>
      <c r="V32" s="11"/>
      <c r="W32" s="11"/>
      <c r="X32" s="11"/>
    </row>
    <row r="33" spans="3:24" x14ac:dyDescent="0.2">
      <c r="C33" s="2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3"/>
    </row>
    <row r="34" spans="3:24" x14ac:dyDescent="0.2">
      <c r="C34" s="17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3"/>
      <c r="X34" s="12"/>
    </row>
    <row r="35" spans="3:24" x14ac:dyDescent="0.2">
      <c r="C35" s="2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4"/>
      <c r="P35" s="4"/>
      <c r="Q35" s="4"/>
      <c r="R35" s="4"/>
      <c r="S35" s="4"/>
      <c r="X35" s="12"/>
    </row>
    <row r="36" spans="3:24" x14ac:dyDescent="0.2">
      <c r="C36" s="2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4"/>
      <c r="U36" s="11"/>
      <c r="V36" s="11"/>
      <c r="W36" s="11"/>
      <c r="X36" s="11"/>
    </row>
    <row r="37" spans="3:24" x14ac:dyDescent="0.2">
      <c r="C37" s="13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3"/>
      <c r="P37" s="3"/>
      <c r="Q37" s="3"/>
      <c r="R37" s="3"/>
      <c r="S37" s="3"/>
      <c r="U37" s="11"/>
      <c r="V37" s="11"/>
      <c r="W37" s="11"/>
      <c r="X37" s="11"/>
    </row>
    <row r="38" spans="3:24" x14ac:dyDescent="0.2">
      <c r="C38" s="2"/>
      <c r="D38" s="1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</row>
    <row r="39" spans="3:24" x14ac:dyDescent="0.2">
      <c r="C39" s="2"/>
      <c r="D39" s="1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X39" s="12"/>
    </row>
    <row r="40" spans="3:24" ht="16" x14ac:dyDescent="0.2">
      <c r="C40" s="17"/>
      <c r="D40" s="9" t="s">
        <v>2</v>
      </c>
      <c r="E40" s="21">
        <v>0</v>
      </c>
      <c r="F40" s="21"/>
      <c r="G40" s="21"/>
      <c r="H40" s="21"/>
      <c r="I40" s="21"/>
      <c r="J40" s="21"/>
      <c r="K40" s="21"/>
      <c r="L40" s="21"/>
      <c r="M40" s="21">
        <v>0</v>
      </c>
      <c r="N40" s="20">
        <v>2</v>
      </c>
      <c r="O40" s="4"/>
      <c r="P40" s="4"/>
      <c r="Q40" s="4"/>
      <c r="R40" s="4"/>
      <c r="S40" s="4"/>
      <c r="X40" s="12"/>
    </row>
    <row r="41" spans="3:24" x14ac:dyDescent="0.2">
      <c r="C41" s="2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</row>
    <row r="42" spans="3:24" x14ac:dyDescent="0.2">
      <c r="C42" s="2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4"/>
      <c r="P42" s="4"/>
      <c r="Q42" s="4"/>
      <c r="R42" s="4"/>
      <c r="S42" s="4"/>
    </row>
    <row r="43" spans="3:24" x14ac:dyDescent="0.2">
      <c r="C43" s="13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3"/>
      <c r="P43" s="3"/>
      <c r="Q43" s="3"/>
      <c r="R43" s="3"/>
      <c r="S43" s="4"/>
    </row>
    <row r="44" spans="3:24" x14ac:dyDescent="0.2">
      <c r="C44" s="2"/>
      <c r="D44" s="1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3"/>
    </row>
    <row r="45" spans="3:24" x14ac:dyDescent="0.2">
      <c r="C45" s="2"/>
      <c r="D45" s="1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</row>
    <row r="46" spans="3:24" x14ac:dyDescent="0.2">
      <c r="C46" s="17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</row>
    <row r="47" spans="3:24" x14ac:dyDescent="0.2">
      <c r="C47" s="13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</row>
    <row r="48" spans="3:24" x14ac:dyDescent="0.2">
      <c r="C48" s="2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</row>
    <row r="49" spans="3:19" x14ac:dyDescent="0.2">
      <c r="C49" s="2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4"/>
      <c r="P49" s="4"/>
      <c r="Q49" s="4"/>
      <c r="R49" s="4"/>
      <c r="S49" s="4"/>
    </row>
    <row r="50" spans="3:19" x14ac:dyDescent="0.2">
      <c r="C50" s="13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3"/>
      <c r="P50" s="3"/>
      <c r="Q50" s="3"/>
      <c r="R50" s="3"/>
      <c r="S50" s="4"/>
    </row>
    <row r="51" spans="3:19" x14ac:dyDescent="0.2">
      <c r="C51" s="2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3"/>
    </row>
    <row r="52" spans="3:19" x14ac:dyDescent="0.2">
      <c r="C52" s="2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</row>
    <row r="53" spans="3:19" x14ac:dyDescent="0.2">
      <c r="C53" s="17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</row>
    <row r="54" spans="3:19" x14ac:dyDescent="0.2">
      <c r="C54" s="1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</row>
    <row r="55" spans="3:19" x14ac:dyDescent="0.2">
      <c r="C55" s="14"/>
      <c r="O55" s="4"/>
      <c r="P55" s="4"/>
      <c r="Q55" s="4"/>
      <c r="R55" s="4"/>
      <c r="S55" s="4"/>
    </row>
    <row r="56" spans="3:19" x14ac:dyDescent="0.2">
      <c r="C56" s="2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S56" s="4"/>
    </row>
    <row r="57" spans="3:19" x14ac:dyDescent="0.2">
      <c r="C57" s="2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12"/>
    </row>
    <row r="58" spans="3:19" x14ac:dyDescent="0.2">
      <c r="C58" s="13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3"/>
      <c r="P58" s="3"/>
      <c r="Q58" s="3"/>
      <c r="R58" s="3"/>
      <c r="S58" s="3"/>
    </row>
    <row r="59" spans="3:19" x14ac:dyDescent="0.2">
      <c r="C59" s="2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3"/>
    </row>
    <row r="60" spans="3:19" x14ac:dyDescent="0.2">
      <c r="C60" s="2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</row>
    <row r="61" spans="3:19" x14ac:dyDescent="0.2">
      <c r="C61" s="17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</row>
    <row r="62" spans="3:19" x14ac:dyDescent="0.2">
      <c r="C62" s="13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</row>
    <row r="63" spans="3:19" x14ac:dyDescent="0.2">
      <c r="C63" s="13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</row>
    <row r="64" spans="3:19" x14ac:dyDescent="0.2">
      <c r="C64" s="2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</row>
    <row r="65" spans="3:19" x14ac:dyDescent="0.2">
      <c r="C65" s="2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</row>
    <row r="66" spans="3:19" x14ac:dyDescent="0.2">
      <c r="C66" s="2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</row>
    <row r="67" spans="3:19" x14ac:dyDescent="0.2">
      <c r="C67" s="2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</row>
    <row r="68" spans="3:19" x14ac:dyDescent="0.2">
      <c r="C68" s="2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4"/>
      <c r="P68" s="4"/>
      <c r="Q68" s="4"/>
      <c r="R68" s="4"/>
      <c r="S68" s="4"/>
    </row>
    <row r="69" spans="3:19" x14ac:dyDescent="0.2"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3"/>
      <c r="P69" s="3"/>
      <c r="Q69" s="3"/>
      <c r="R69" s="3"/>
      <c r="S69" s="4"/>
    </row>
    <row r="70" spans="3:19" x14ac:dyDescent="0.2">
      <c r="C70" s="2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3"/>
    </row>
    <row r="71" spans="3:19" x14ac:dyDescent="0.2">
      <c r="C71" s="2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</row>
    <row r="72" spans="3:19" x14ac:dyDescent="0.2">
      <c r="C72" s="2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</row>
    <row r="73" spans="3:19" x14ac:dyDescent="0.2">
      <c r="C73" s="2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</row>
    <row r="74" spans="3:19" x14ac:dyDescent="0.2">
      <c r="C74" s="2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4"/>
      <c r="P74" s="4"/>
      <c r="Q74" s="4"/>
      <c r="R74" s="4"/>
      <c r="S74" s="4"/>
    </row>
    <row r="75" spans="3:19" x14ac:dyDescent="0.2"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3"/>
      <c r="P75" s="3"/>
      <c r="Q75" s="3"/>
      <c r="R75" s="3"/>
      <c r="S75" s="4"/>
    </row>
    <row r="76" spans="3:19" x14ac:dyDescent="0.2">
      <c r="C76" s="2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3"/>
    </row>
    <row r="77" spans="3:19" x14ac:dyDescent="0.2">
      <c r="C77" s="2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</row>
    <row r="78" spans="3:19" x14ac:dyDescent="0.2">
      <c r="C78" s="2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4"/>
      <c r="P78" s="4"/>
      <c r="Q78" s="4"/>
      <c r="R78" s="4"/>
      <c r="S78" s="4"/>
    </row>
    <row r="79" spans="3:19" x14ac:dyDescent="0.2">
      <c r="C79" s="2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4"/>
    </row>
    <row r="80" spans="3:19" x14ac:dyDescent="0.2">
      <c r="C80" s="13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3"/>
      <c r="P80" s="3"/>
      <c r="Q80" s="3"/>
      <c r="R80" s="3"/>
      <c r="S80" s="3"/>
    </row>
    <row r="81" spans="3:19" x14ac:dyDescent="0.2">
      <c r="C81" s="2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3"/>
    </row>
    <row r="82" spans="3:19" x14ac:dyDescent="0.2">
      <c r="C82" s="2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</row>
    <row r="83" spans="3:19" x14ac:dyDescent="0.2">
      <c r="C83" s="2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</row>
    <row r="84" spans="3:19" x14ac:dyDescent="0.2">
      <c r="O84" s="4"/>
      <c r="P84" s="4"/>
      <c r="Q84" s="4"/>
      <c r="R84" s="4"/>
      <c r="S84" s="4"/>
    </row>
    <row r="85" spans="3:19" x14ac:dyDescent="0.2">
      <c r="C85" s="2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S85" s="4"/>
    </row>
    <row r="86" spans="3:19" x14ac:dyDescent="0.2"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3"/>
      <c r="P86" s="3"/>
      <c r="Q86" s="3"/>
      <c r="R86" s="3"/>
    </row>
    <row r="87" spans="3:19" x14ac:dyDescent="0.2">
      <c r="C87" s="2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3"/>
    </row>
    <row r="88" spans="3:19" x14ac:dyDescent="0.2">
      <c r="C88" s="2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</row>
    <row r="89" spans="3:19" x14ac:dyDescent="0.2">
      <c r="C89" s="2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</row>
    <row r="90" spans="3:19" x14ac:dyDescent="0.2">
      <c r="C90" s="2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</row>
    <row r="91" spans="3:19" x14ac:dyDescent="0.2">
      <c r="O91" s="4"/>
      <c r="P91" s="4"/>
      <c r="Q91" s="4"/>
      <c r="R91" s="4"/>
      <c r="S91" s="4"/>
    </row>
    <row r="92" spans="3:19" x14ac:dyDescent="0.2">
      <c r="S92" s="4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VisSomBrøker">
                <anchor moveWithCells="1" sizeWithCells="1">
                  <from>
                    <xdr:col>1</xdr:col>
                    <xdr:colOff>368300</xdr:colOff>
                    <xdr:row>1</xdr:row>
                    <xdr:rowOff>101600</xdr:rowOff>
                  </from>
                  <to>
                    <xdr:col>3</xdr:col>
                    <xdr:colOff>12700</xdr:colOff>
                    <xdr:row>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VisSomDecimaltal">
                <anchor moveWithCells="1" sizeWithCells="1">
                  <from>
                    <xdr:col>2</xdr:col>
                    <xdr:colOff>139700</xdr:colOff>
                    <xdr:row>3</xdr:row>
                    <xdr:rowOff>25400</xdr:rowOff>
                  </from>
                  <to>
                    <xdr:col>3</xdr:col>
                    <xdr:colOff>444500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1"/>
  <dimension ref="A1:K41"/>
  <sheetViews>
    <sheetView topLeftCell="A10" zoomScale="133" workbookViewId="0">
      <selection activeCell="C37" sqref="C37:J41"/>
    </sheetView>
  </sheetViews>
  <sheetFormatPr baseColWidth="10" defaultColWidth="8.6640625" defaultRowHeight="15" x14ac:dyDescent="0.2"/>
  <sheetData>
    <row r="1" spans="1:7" x14ac:dyDescent="0.2">
      <c r="A1" t="s">
        <v>5</v>
      </c>
      <c r="B1">
        <v>1</v>
      </c>
      <c r="C1">
        <v>0</v>
      </c>
      <c r="D1">
        <v>0</v>
      </c>
    </row>
    <row r="2" spans="1:7" x14ac:dyDescent="0.2">
      <c r="B2">
        <v>0</v>
      </c>
      <c r="C2">
        <v>1</v>
      </c>
      <c r="D2">
        <v>0</v>
      </c>
    </row>
    <row r="3" spans="1:7" x14ac:dyDescent="0.2">
      <c r="B3">
        <v>0</v>
      </c>
      <c r="C3">
        <v>0</v>
      </c>
      <c r="D3">
        <v>1</v>
      </c>
    </row>
    <row r="5" spans="1:7" x14ac:dyDescent="0.2">
      <c r="A5" t="s">
        <v>14</v>
      </c>
      <c r="B5" cm="1">
        <f t="array" ref="B5:D7">MINVERSE(B1:D3)</f>
        <v>1</v>
      </c>
      <c r="C5">
        <v>0</v>
      </c>
      <c r="D5">
        <v>0</v>
      </c>
    </row>
    <row r="6" spans="1:7" x14ac:dyDescent="0.2">
      <c r="B6">
        <v>0</v>
      </c>
      <c r="C6">
        <v>1</v>
      </c>
      <c r="D6">
        <v>0</v>
      </c>
    </row>
    <row r="7" spans="1:7" x14ac:dyDescent="0.2">
      <c r="B7">
        <v>0</v>
      </c>
      <c r="C7">
        <v>0</v>
      </c>
      <c r="D7">
        <v>1</v>
      </c>
    </row>
    <row r="9" spans="1:7" x14ac:dyDescent="0.2">
      <c r="A9" t="s">
        <v>6</v>
      </c>
      <c r="B9">
        <v>1</v>
      </c>
      <c r="C9">
        <v>0</v>
      </c>
      <c r="D9">
        <v>3</v>
      </c>
      <c r="E9">
        <v>1</v>
      </c>
      <c r="F9">
        <v>0</v>
      </c>
      <c r="G9">
        <v>0</v>
      </c>
    </row>
    <row r="10" spans="1:7" x14ac:dyDescent="0.2">
      <c r="B10">
        <v>0</v>
      </c>
      <c r="C10">
        <v>2</v>
      </c>
      <c r="D10">
        <v>3</v>
      </c>
      <c r="E10">
        <v>0</v>
      </c>
      <c r="F10">
        <v>1</v>
      </c>
      <c r="G10">
        <v>0</v>
      </c>
    </row>
    <row r="11" spans="1:7" x14ac:dyDescent="0.2">
      <c r="B11">
        <v>2</v>
      </c>
      <c r="C11">
        <v>1</v>
      </c>
      <c r="D11">
        <v>1</v>
      </c>
      <c r="E11">
        <v>0</v>
      </c>
      <c r="F11">
        <v>0</v>
      </c>
      <c r="G11">
        <v>-1</v>
      </c>
    </row>
    <row r="16" spans="1:7" x14ac:dyDescent="0.2">
      <c r="A16" t="s">
        <v>7</v>
      </c>
      <c r="B16" cm="1">
        <f t="array" ref="B16:G18">MMULT(_xlfn.ANCHORARRAY(B5),B9:G11)</f>
        <v>1</v>
      </c>
      <c r="C16">
        <v>0</v>
      </c>
      <c r="D16">
        <v>3</v>
      </c>
      <c r="E16">
        <v>1</v>
      </c>
      <c r="F16">
        <v>0</v>
      </c>
      <c r="G16">
        <v>0</v>
      </c>
    </row>
    <row r="17" spans="2:11" x14ac:dyDescent="0.2">
      <c r="B17">
        <v>0</v>
      </c>
      <c r="C17">
        <v>2</v>
      </c>
      <c r="D17">
        <v>3</v>
      </c>
      <c r="E17">
        <v>0</v>
      </c>
      <c r="F17">
        <v>1</v>
      </c>
      <c r="G17">
        <v>0</v>
      </c>
    </row>
    <row r="18" spans="2:11" x14ac:dyDescent="0.2">
      <c r="B18">
        <v>2</v>
      </c>
      <c r="C18">
        <v>1</v>
      </c>
      <c r="D18">
        <v>1</v>
      </c>
      <c r="E18">
        <v>0</v>
      </c>
      <c r="F18">
        <v>0</v>
      </c>
      <c r="G18">
        <v>-1</v>
      </c>
    </row>
    <row r="22" spans="2:11" x14ac:dyDescent="0.2">
      <c r="B22" s="18">
        <v>2</v>
      </c>
      <c r="C22" s="18">
        <v>1</v>
      </c>
      <c r="D22" s="19">
        <v>0</v>
      </c>
      <c r="E22" s="18">
        <v>0</v>
      </c>
      <c r="F22" s="20">
        <v>0</v>
      </c>
      <c r="G22" s="18"/>
      <c r="H22" s="20"/>
      <c r="I22" s="18"/>
      <c r="J22" s="18"/>
      <c r="K22" s="20"/>
    </row>
    <row r="23" spans="2:11" x14ac:dyDescent="0.2">
      <c r="B23" s="21">
        <v>-4</v>
      </c>
      <c r="C23" s="22">
        <v>-3</v>
      </c>
      <c r="D23" s="22">
        <v>1</v>
      </c>
      <c r="E23" s="21">
        <v>0</v>
      </c>
      <c r="F23" s="20">
        <v>-30</v>
      </c>
      <c r="G23" s="21"/>
      <c r="H23" s="20"/>
      <c r="I23" s="21"/>
      <c r="J23" s="21"/>
      <c r="K23" s="20"/>
    </row>
    <row r="24" spans="2:11" x14ac:dyDescent="0.2">
      <c r="B24" s="21">
        <v>-4</v>
      </c>
      <c r="C24" s="22">
        <v>-1</v>
      </c>
      <c r="D24" s="22">
        <v>0</v>
      </c>
      <c r="E24" s="21">
        <v>1</v>
      </c>
      <c r="F24" s="20">
        <v>-10</v>
      </c>
      <c r="G24" s="21"/>
      <c r="H24" s="20"/>
      <c r="I24" s="21"/>
      <c r="J24" s="21"/>
      <c r="K24" s="20"/>
    </row>
    <row r="25" spans="2:11" x14ac:dyDescent="0.2">
      <c r="B25" s="21"/>
      <c r="C25" s="22"/>
      <c r="D25" s="22"/>
      <c r="E25" s="21"/>
      <c r="F25" s="21"/>
      <c r="G25" s="21"/>
      <c r="H25" s="20"/>
      <c r="I25" s="21"/>
      <c r="J25" s="21"/>
      <c r="K25" s="20"/>
    </row>
    <row r="27" spans="2:11" x14ac:dyDescent="0.2">
      <c r="B27" s="18">
        <v>-2</v>
      </c>
      <c r="C27" s="18">
        <v>-1</v>
      </c>
      <c r="D27" s="19">
        <v>-2</v>
      </c>
      <c r="E27" s="18">
        <v>0</v>
      </c>
      <c r="F27" s="18">
        <v>0</v>
      </c>
      <c r="G27" s="18">
        <v>1</v>
      </c>
      <c r="H27" s="20">
        <v>0</v>
      </c>
      <c r="I27" s="18"/>
      <c r="J27" s="18"/>
      <c r="K27" s="20"/>
    </row>
    <row r="28" spans="2:11" x14ac:dyDescent="0.2">
      <c r="B28" s="21">
        <v>4</v>
      </c>
      <c r="C28" s="22">
        <v>3</v>
      </c>
      <c r="D28" s="22">
        <v>8</v>
      </c>
      <c r="E28" s="21">
        <v>1</v>
      </c>
      <c r="F28" s="21">
        <v>0</v>
      </c>
      <c r="G28" s="21">
        <v>0</v>
      </c>
      <c r="H28" s="20">
        <v>12</v>
      </c>
      <c r="I28" s="21"/>
      <c r="J28" s="21"/>
      <c r="K28" s="20"/>
    </row>
    <row r="29" spans="2:11" x14ac:dyDescent="0.2">
      <c r="B29" s="21">
        <v>4</v>
      </c>
      <c r="C29" s="22">
        <v>1</v>
      </c>
      <c r="D29" s="22">
        <v>12</v>
      </c>
      <c r="E29" s="21">
        <v>0</v>
      </c>
      <c r="F29" s="21">
        <v>1</v>
      </c>
      <c r="G29" s="21">
        <v>0</v>
      </c>
      <c r="H29" s="20">
        <v>8</v>
      </c>
      <c r="I29" s="21"/>
      <c r="J29" s="21"/>
      <c r="K29" s="20"/>
    </row>
    <row r="30" spans="2:11" x14ac:dyDescent="0.2">
      <c r="B30" s="21">
        <v>4</v>
      </c>
      <c r="C30" s="22">
        <v>-1</v>
      </c>
      <c r="D30" s="22">
        <v>3</v>
      </c>
      <c r="E30" s="21">
        <v>0</v>
      </c>
      <c r="F30" s="21">
        <v>0</v>
      </c>
      <c r="G30" s="21">
        <v>1</v>
      </c>
      <c r="H30" s="20">
        <v>8</v>
      </c>
      <c r="I30" s="21"/>
      <c r="J30" s="21"/>
      <c r="K30" s="20"/>
    </row>
    <row r="32" spans="2:11" x14ac:dyDescent="0.2">
      <c r="B32" s="18"/>
      <c r="C32" s="18"/>
      <c r="D32" s="19"/>
      <c r="E32" s="18"/>
      <c r="F32" s="18"/>
      <c r="G32" s="18"/>
      <c r="H32" s="18"/>
      <c r="I32" s="18"/>
      <c r="J32" s="18"/>
      <c r="K32" s="20"/>
    </row>
    <row r="33" spans="2:11" x14ac:dyDescent="0.2">
      <c r="B33" s="21"/>
      <c r="C33" s="22"/>
      <c r="D33" s="22"/>
      <c r="E33" s="21"/>
      <c r="F33" s="21"/>
      <c r="G33" s="21"/>
      <c r="H33" s="21"/>
      <c r="I33" s="21"/>
      <c r="J33" s="21"/>
      <c r="K33" s="20"/>
    </row>
    <row r="34" spans="2:11" x14ac:dyDescent="0.2">
      <c r="B34" s="21"/>
      <c r="C34" s="22"/>
      <c r="D34" s="22"/>
      <c r="E34" s="21"/>
      <c r="F34" s="21"/>
      <c r="G34" s="21"/>
      <c r="H34" s="21"/>
      <c r="I34" s="21"/>
      <c r="J34" s="21"/>
      <c r="K34" s="20"/>
    </row>
    <row r="35" spans="2:11" x14ac:dyDescent="0.2">
      <c r="B35" s="21"/>
      <c r="C35" s="22"/>
      <c r="D35" s="22"/>
      <c r="E35" s="21"/>
      <c r="F35" s="21"/>
      <c r="G35" s="21"/>
      <c r="H35" s="21"/>
      <c r="I35" s="21"/>
      <c r="J35" s="21"/>
      <c r="K35" s="20"/>
    </row>
    <row r="37" spans="2:11" ht="16" x14ac:dyDescent="0.2">
      <c r="C37" s="6" t="s">
        <v>1</v>
      </c>
      <c r="D37" s="6" t="s">
        <v>2</v>
      </c>
      <c r="E37" s="6" t="s">
        <v>8</v>
      </c>
      <c r="F37" s="6" t="s">
        <v>11</v>
      </c>
      <c r="G37" s="6" t="s">
        <v>15</v>
      </c>
      <c r="H37" s="6" t="s">
        <v>16</v>
      </c>
      <c r="I37" s="6" t="s">
        <v>17</v>
      </c>
      <c r="J37" s="7" t="s">
        <v>13</v>
      </c>
    </row>
    <row r="38" spans="2:11" x14ac:dyDescent="0.2">
      <c r="C38" s="18">
        <v>0</v>
      </c>
      <c r="D38" s="18">
        <v>0</v>
      </c>
      <c r="E38" s="18">
        <v>0</v>
      </c>
      <c r="F38" s="18">
        <v>0</v>
      </c>
      <c r="G38" s="18">
        <v>0</v>
      </c>
      <c r="H38" s="18">
        <v>0</v>
      </c>
      <c r="I38" s="19">
        <v>0.99999999999999978</v>
      </c>
      <c r="J38" s="20">
        <v>0</v>
      </c>
    </row>
    <row r="39" spans="2:11" x14ac:dyDescent="0.2">
      <c r="C39" s="21">
        <v>0</v>
      </c>
      <c r="D39" s="22">
        <v>0.5</v>
      </c>
      <c r="E39" s="22">
        <v>3.5</v>
      </c>
      <c r="F39" s="22">
        <v>1</v>
      </c>
      <c r="G39" s="22">
        <v>1.5</v>
      </c>
      <c r="H39" s="22">
        <v>0</v>
      </c>
      <c r="I39" s="22">
        <v>-1.5</v>
      </c>
      <c r="J39" s="20">
        <v>1</v>
      </c>
    </row>
    <row r="40" spans="2:11" x14ac:dyDescent="0.2">
      <c r="C40" s="21">
        <v>0</v>
      </c>
      <c r="D40" s="22">
        <v>4.5</v>
      </c>
      <c r="E40" s="22">
        <v>0.5</v>
      </c>
      <c r="F40" s="22">
        <v>0</v>
      </c>
      <c r="G40" s="22">
        <v>0.5</v>
      </c>
      <c r="H40" s="22">
        <v>1</v>
      </c>
      <c r="I40" s="22">
        <v>-0.5</v>
      </c>
      <c r="J40" s="20">
        <v>4</v>
      </c>
    </row>
    <row r="41" spans="2:11" x14ac:dyDescent="0.2">
      <c r="C41" s="21">
        <v>1</v>
      </c>
      <c r="D41" s="22">
        <v>0.5</v>
      </c>
      <c r="E41" s="22">
        <v>0.5</v>
      </c>
      <c r="F41" s="22">
        <v>0</v>
      </c>
      <c r="G41" s="22">
        <v>-0.5</v>
      </c>
      <c r="H41" s="22">
        <v>0</v>
      </c>
      <c r="I41" s="22">
        <v>0.5</v>
      </c>
      <c r="J41" s="20"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Sheet1</vt:lpstr>
      <vt:lpstr>Ark1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Teodoridis</dc:creator>
  <cp:lastModifiedBy>Asger Konradi Lauridsen</cp:lastModifiedBy>
  <dcterms:created xsi:type="dcterms:W3CDTF">2006-09-16T00:00:00Z</dcterms:created>
  <dcterms:modified xsi:type="dcterms:W3CDTF">2025-01-19T15:03:44Z</dcterms:modified>
</cp:coreProperties>
</file>