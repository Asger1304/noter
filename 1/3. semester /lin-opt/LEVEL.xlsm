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207" codeName="{857A39E2-67AF-9BA6-E15C-A4B3A0C75593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/Users/asgeraircool/Desktop/lin-opt/"/>
    </mc:Choice>
  </mc:AlternateContent>
  <xr:revisionPtr revIDLastSave="0" documentId="13_ncr:1_{C655E2D5-FF4F-0841-97A3-54A16A2A9B72}" xr6:coauthVersionLast="47" xr6:coauthVersionMax="47" xr10:uidLastSave="{00000000-0000-0000-0000-000000000000}"/>
  <bookViews>
    <workbookView xWindow="0" yWindow="740" windowWidth="29400" windowHeight="18380" xr2:uid="{00000000-000D-0000-FFFF-FFFF00000000}"/>
  </bookViews>
  <sheets>
    <sheet name="Sheet1" sheetId="1" r:id="rId1"/>
    <sheet name="Ark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1" i="2" l="1" a="1"/>
  <c r="B11" i="2" s="1"/>
  <c r="E18" i="1"/>
  <c r="F18" i="1"/>
  <c r="H18" i="1"/>
  <c r="U19" i="1"/>
  <c r="AD20" i="1"/>
  <c r="AE21" i="1"/>
  <c r="E19" i="1"/>
  <c r="F19" i="1"/>
  <c r="H19" i="1"/>
  <c r="U20" i="1"/>
  <c r="AD21" i="1"/>
  <c r="AE22" i="1"/>
  <c r="F20" i="1"/>
  <c r="H20" i="1"/>
  <c r="U21" i="1"/>
  <c r="AD22" i="1"/>
  <c r="AE23" i="1"/>
  <c r="E21" i="1"/>
  <c r="F21" i="1"/>
  <c r="H21" i="1"/>
  <c r="U22" i="1"/>
  <c r="AD23" i="1"/>
  <c r="AE24" i="1"/>
  <c r="E22" i="1"/>
  <c r="F22" i="1"/>
  <c r="H22" i="1"/>
  <c r="U23" i="1"/>
  <c r="AD24" i="1"/>
  <c r="AE25" i="1"/>
  <c r="E26" i="1"/>
  <c r="F26" i="1"/>
  <c r="H26" i="1"/>
  <c r="U27" i="1"/>
  <c r="AD28" i="1"/>
  <c r="AE29" i="1"/>
  <c r="E27" i="1"/>
  <c r="F27" i="1"/>
  <c r="H27" i="1"/>
  <c r="U28" i="1"/>
  <c r="AD29" i="1"/>
  <c r="AE30" i="1"/>
  <c r="E28" i="1"/>
  <c r="F28" i="1"/>
  <c r="H28" i="1"/>
  <c r="U29" i="1"/>
  <c r="AD30" i="1"/>
  <c r="AE31" i="1"/>
  <c r="E29" i="1"/>
  <c r="F29" i="1"/>
  <c r="H29" i="1"/>
  <c r="U30" i="1"/>
  <c r="AD31" i="1"/>
  <c r="AE32" i="1"/>
  <c r="E30" i="1"/>
  <c r="F30" i="1"/>
  <c r="H30" i="1"/>
  <c r="U31" i="1"/>
  <c r="AD32" i="1"/>
  <c r="AE33" i="1"/>
  <c r="B5" i="2" a="1"/>
  <c r="B5" i="2" s="1"/>
  <c r="C6" i="2" l="1"/>
  <c r="B6" i="2"/>
  <c r="C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<sst xmlns="http://schemas.openxmlformats.org/spreadsheetml/2006/main" count="20" uniqueCount="18">
  <si>
    <t>Basisvar.</t>
  </si>
  <si>
    <t>x1</t>
  </si>
  <si>
    <t>x2</t>
  </si>
  <si>
    <r>
      <t>LEVEL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(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ysgaards simpl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x-pi</t>
    </r>
    <r>
      <rPr>
        <b/>
        <sz val="11"/>
        <color theme="1"/>
        <rFont val="Calibri"/>
        <family val="2"/>
        <scheme val="minor"/>
      </rPr>
      <t>V</t>
    </r>
    <r>
      <rPr>
        <sz val="11"/>
        <color theme="1"/>
        <rFont val="Calibri"/>
        <family val="2"/>
        <scheme val="minor"/>
      </rPr>
      <t xml:space="preserve">otering i </t>
    </r>
    <r>
      <rPr>
        <b/>
        <sz val="11"/>
        <color theme="1"/>
        <rFont val="Calibri"/>
        <family val="2"/>
        <scheme val="minor"/>
      </rPr>
      <t>E</t>
    </r>
    <r>
      <rPr>
        <sz val="11"/>
        <color theme="1"/>
        <rFont val="Calibri"/>
        <family val="2"/>
        <scheme val="minor"/>
      </rPr>
      <t>xce</t>
    </r>
    <r>
      <rPr>
        <b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>): En procedure til simplex-pivotering i Excel/VBA, v. 1.0, september 2015 / Jens Lysgaard</t>
    </r>
  </si>
  <si>
    <t>Nyt januar 2018: nu med mulighed for simplex med en ukendt reel parameter.</t>
  </si>
  <si>
    <t>B</t>
  </si>
  <si>
    <t>B^-1</t>
  </si>
  <si>
    <t>A</t>
  </si>
  <si>
    <t>A^bar</t>
  </si>
  <si>
    <t>x3</t>
  </si>
  <si>
    <t>Primal</t>
  </si>
  <si>
    <t>Dual</t>
  </si>
  <si>
    <t>RHS</t>
  </si>
  <si>
    <t>x4</t>
  </si>
  <si>
    <t>x5</t>
  </si>
  <si>
    <t>red. Omk</t>
  </si>
  <si>
    <t>y1</t>
  </si>
  <si>
    <t>y2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</si>
</sst>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kr.&quot;_-;\-* #,##0.00\ &quot;kr.&quot;_-;_-* &quot;-&quot;??\ &quot;kr.&quot;_-;_-@_-"/>
    <numFmt numFmtId="164" formatCode="???/???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5D9F1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38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44" fontId="8" fillId="0" borderId="0" applyFont="0" applyFill="0" applyBorder="0" applyAlignment="0" applyProtection="0"/>
  </cellStyleXfs>
  <cellXfs count="24">
    <xf numFmtId="0" fontId="0" fillId="0" borderId="0" xfId="0"/>
    <xf numFmtId="0" fontId="0" fillId="0" borderId="0" xfId="0" quotePrefix="1"/>
    <xf numFmtId="12" fontId="6" fillId="0" borderId="0" xfId="37" applyNumberFormat="1" applyFont="1" applyBorder="1" applyAlignment="1">
      <alignment horizontal="right" vertical="center" wrapText="1"/>
    </xf>
    <xf numFmtId="12" fontId="6" fillId="0" borderId="0" xfId="37" applyNumberFormat="1" applyFont="1" applyFill="1" applyBorder="1" applyAlignment="1">
      <alignment horizontal="right" vertical="center" wrapText="1"/>
    </xf>
    <xf numFmtId="12" fontId="7" fillId="0" borderId="0" xfId="0" applyNumberFormat="1" applyFont="1" applyAlignment="1">
      <alignment horizontal="center" vertical="center" wrapText="1"/>
    </xf>
    <xf numFmtId="12" fontId="7" fillId="0" borderId="0" xfId="0" applyNumberFormat="1" applyFont="1" applyAlignment="1">
      <alignment horizontal="right" vertical="center" wrapText="1"/>
    </xf>
    <xf numFmtId="12" fontId="6" fillId="0" borderId="0" xfId="0" applyNumberFormat="1" applyFont="1" applyAlignment="1">
      <alignment horizontal="right" vertical="center" wrapText="1"/>
    </xf>
    <xf numFmtId="12" fontId="0" fillId="0" borderId="0" xfId="0" applyNumberFormat="1"/>
    <xf numFmtId="12" fontId="1" fillId="0" borderId="0" xfId="0" applyNumberFormat="1" applyFont="1" applyAlignment="1">
      <alignment horizontal="right"/>
    </xf>
    <xf numFmtId="12" fontId="0" fillId="0" borderId="0" xfId="0" applyNumberFormat="1" applyAlignment="1">
      <alignment horizontal="center"/>
    </xf>
    <xf numFmtId="12" fontId="0" fillId="0" borderId="0" xfId="0" applyNumberFormat="1" applyAlignment="1">
      <alignment vertical="center" wrapText="1"/>
    </xf>
    <xf numFmtId="12" fontId="1" fillId="0" borderId="0" xfId="0" applyNumberFormat="1" applyFont="1" applyAlignment="1">
      <alignment horizontal="center"/>
    </xf>
    <xf numFmtId="12" fontId="1" fillId="0" borderId="0" xfId="0" applyNumberFormat="1" applyFont="1"/>
    <xf numFmtId="12" fontId="1" fillId="0" borderId="0" xfId="0" applyNumberFormat="1" applyFont="1" applyAlignment="1">
      <alignment vertical="center" wrapText="1"/>
    </xf>
    <xf numFmtId="12" fontId="6" fillId="0" borderId="0" xfId="0" applyNumberFormat="1" applyFont="1" applyAlignment="1">
      <alignment vertical="center" wrapText="1"/>
    </xf>
    <xf numFmtId="164" fontId="0" fillId="3" borderId="1" xfId="0" applyNumberFormat="1" applyFill="1" applyBorder="1"/>
    <xf numFmtId="164" fontId="0" fillId="3" borderId="2" xfId="0" applyNumberFormat="1" applyFill="1" applyBorder="1"/>
    <xf numFmtId="164" fontId="0" fillId="0" borderId="3" xfId="0" applyNumberFormat="1" applyBorder="1"/>
    <xf numFmtId="164" fontId="0" fillId="0" borderId="0" xfId="0" applyNumberFormat="1"/>
    <xf numFmtId="164" fontId="0" fillId="3" borderId="3" xfId="0" applyNumberFormat="1" applyFill="1" applyBorder="1"/>
    <xf numFmtId="164" fontId="0" fillId="3" borderId="0" xfId="0" applyNumberFormat="1" applyFill="1"/>
    <xf numFmtId="12" fontId="7" fillId="2" borderId="0" xfId="0" applyNumberFormat="1" applyFont="1" applyFill="1" applyAlignment="1">
      <alignment horizontal="right" vertical="center" wrapText="1"/>
    </xf>
    <xf numFmtId="12" fontId="6" fillId="0" borderId="0" xfId="0" quotePrefix="1" applyNumberFormat="1" applyFont="1" applyAlignment="1">
      <alignment horizontal="right" vertical="center" wrapText="1"/>
    </xf>
    <xf numFmtId="12" fontId="6" fillId="2" borderId="0" xfId="0" applyNumberFormat="1" applyFont="1" applyFill="1" applyAlignment="1">
      <alignment horizontal="right" vertical="center" wrapText="1"/>
    </xf>
  </cellXfs>
  <cellStyles count="38">
    <cellStyle name="Besøgt link" xfId="2" builtinId="9" hidden="1"/>
    <cellStyle name="Besøgt link" xfId="4" builtinId="9" hidden="1"/>
    <cellStyle name="Besøgt link" xfId="6" builtinId="9" hidden="1"/>
    <cellStyle name="Besøgt link" xfId="8" builtinId="9" hidden="1"/>
    <cellStyle name="Besøgt link" xfId="10" builtinId="9" hidden="1"/>
    <cellStyle name="Besøgt link" xfId="12" builtinId="9" hidden="1"/>
    <cellStyle name="Besøgt link" xfId="14" builtinId="9" hidden="1"/>
    <cellStyle name="Besøgt link" xfId="16" builtinId="9" hidden="1"/>
    <cellStyle name="Besøgt link" xfId="18" builtinId="9" hidden="1"/>
    <cellStyle name="Besøgt link" xfId="20" builtinId="9" hidden="1"/>
    <cellStyle name="Besøgt link" xfId="22" builtinId="9" hidden="1"/>
    <cellStyle name="Besøgt link" xfId="24" builtinId="9" hidden="1"/>
    <cellStyle name="Besøgt link" xfId="26" builtinId="9" hidden="1"/>
    <cellStyle name="Besøgt link" xfId="28" builtinId="9" hidden="1"/>
    <cellStyle name="Besøgt link" xfId="30" builtinId="9" hidden="1"/>
    <cellStyle name="Besøgt link" xfId="32" builtinId="9" hidden="1"/>
    <cellStyle name="Besøgt link" xfId="34" builtinId="9" hidden="1"/>
    <cellStyle name="Besøgt link" xfId="3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Link" xfId="17" builtinId="8" hidden="1"/>
    <cellStyle name="Link" xfId="19" builtinId="8" hidden="1"/>
    <cellStyle name="Link" xfId="21" builtinId="8" hidden="1"/>
    <cellStyle name="Link" xfId="23" builtinId="8" hidden="1"/>
    <cellStyle name="Link" xfId="25" builtinId="8" hidden="1"/>
    <cellStyle name="Link" xfId="27" builtinId="8" hidden="1"/>
    <cellStyle name="Link" xfId="29" builtinId="8" hidden="1"/>
    <cellStyle name="Link" xfId="31" builtinId="8" hidden="1"/>
    <cellStyle name="Link" xfId="33" builtinId="8" hidden="1"/>
    <cellStyle name="Link" xfId="35" builtinId="8" hidden="1"/>
    <cellStyle name="Normal" xfId="0" builtinId="0"/>
    <cellStyle name="Valuta" xfId="37" builtinId="4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ustomXml" Target="../ink/ink2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ustomXml" Target="../ink/ink4.xml"/><Relationship Id="rId4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</xdr:row>
          <xdr:rowOff>38100</xdr:rowOff>
        </xdr:from>
        <xdr:to>
          <xdr:col>4</xdr:col>
          <xdr:colOff>76200</xdr:colOff>
          <xdr:row>4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Pivotér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7</xdr:col>
          <xdr:colOff>723900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som brøker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 som decimaltal</a:t>
              </a:r>
            </a:p>
          </xdr:txBody>
        </xdr:sp>
        <xdr:clientData fPrintsWithSheet="0"/>
      </xdr:twoCellAnchor>
    </mc:Choice>
    <mc:Fallback/>
  </mc:AlternateContent>
  <xdr:oneCellAnchor>
    <xdr:from>
      <xdr:col>30</xdr:col>
      <xdr:colOff>725950</xdr:colOff>
      <xdr:row>54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6" name="Ink 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725950</xdr:colOff>
      <xdr:row>60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8" name="Ink 1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725950</xdr:colOff>
      <xdr:row>66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1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  <xdr:oneCellAnchor>
    <xdr:from>
      <xdr:col>30</xdr:col>
      <xdr:colOff>725950</xdr:colOff>
      <xdr:row>72</xdr:row>
      <xdr:rowOff>76164</xdr:rowOff>
    </xdr:from>
    <xdr:ext cx="27360" cy="21600"/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0" name="Ink 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14:cNvPr>
            <xdr14:cNvContentPartPr/>
          </xdr14:nvContentPartPr>
          <xdr14:nvPr macro=""/>
          <xdr14:xfrm>
            <a:off x="7977240" y="1337970"/>
            <a:ext cx="27360" cy="216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E00672D-6E30-477E-874A-919527AA638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968240" y="1329330"/>
              <a:ext cx="45000" cy="39240"/>
            </a:xfrm>
            <a:prstGeom prst="rect">
              <a:avLst/>
            </a:prstGeom>
          </xdr:spPr>
        </xdr:pic>
      </mc:Fallback>
    </mc:AlternateContent>
    <xdr:clientData/>
  </xdr:one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1:57.202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06.851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20.97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1-10-26T12:02:42.007"/>
    </inkml:context>
    <inkml:brush xml:id="br0">
      <inkml:brushProperty name="width" value="0.05" units="cm"/>
      <inkml:brushProperty name="height" value="0.05" units="cm"/>
    </inkml:brush>
  </inkml:definitions>
  <inkml:trace contextRef="#ctx0" brushRef="#br0">75 1 7130,'-70'59'2624,"75"-63"-2176,-5 2-176,-5 1-192,3 1-48,1 0-224,-1 0-296</inkml:trace>
</inkml: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93"/>
  <sheetViews>
    <sheetView tabSelected="1" topLeftCell="B1" zoomScale="170" zoomScaleNormal="91" workbookViewId="0">
      <pane ySplit="5" topLeftCell="A6" activePane="bottomLeft" state="frozen"/>
      <selection pane="bottomLeft" activeCell="D9" sqref="D9"/>
    </sheetView>
  </sheetViews>
  <sheetFormatPr baseColWidth="10" defaultColWidth="8.83203125" defaultRowHeight="15" x14ac:dyDescent="0.2"/>
  <cols>
    <col min="1" max="3" width="8.83203125" style="7"/>
    <col min="4" max="4" width="13.5" style="7" bestFit="1" customWidth="1"/>
    <col min="5" max="5" width="13" style="7" bestFit="1" customWidth="1"/>
    <col min="6" max="6" width="13.5" style="7" bestFit="1" customWidth="1"/>
    <col min="7" max="7" width="13.5" style="7" customWidth="1"/>
    <col min="8" max="8" width="14" style="7" bestFit="1" customWidth="1"/>
    <col min="9" max="20" width="14" style="7" customWidth="1"/>
    <col min="21" max="21" width="13.5" style="7" bestFit="1" customWidth="1"/>
    <col min="22" max="29" width="13.5" style="7" customWidth="1"/>
    <col min="30" max="30" width="15.5" style="7" customWidth="1"/>
    <col min="31" max="31" width="14.33203125" style="7" customWidth="1"/>
    <col min="32" max="32" width="12.6640625" style="7" bestFit="1" customWidth="1"/>
    <col min="33" max="33" width="12.33203125" style="7" bestFit="1" customWidth="1"/>
    <col min="34" max="34" width="11" style="7" bestFit="1" customWidth="1"/>
    <col min="35" max="35" width="10.5" style="7" bestFit="1" customWidth="1"/>
    <col min="36" max="36" width="11" style="7" bestFit="1" customWidth="1"/>
    <col min="37" max="16384" width="8.83203125" style="7"/>
  </cols>
  <sheetData>
    <row r="1" spans="1:35" x14ac:dyDescent="0.2">
      <c r="A1" s="7" t="s">
        <v>3</v>
      </c>
    </row>
    <row r="2" spans="1:35" x14ac:dyDescent="0.2">
      <c r="AD2" s="7" t="s">
        <v>4</v>
      </c>
    </row>
    <row r="6" spans="1:35" ht="16" x14ac:dyDescent="0.2">
      <c r="C6" s="4" t="s">
        <v>0</v>
      </c>
      <c r="D6" s="5" t="s">
        <v>1</v>
      </c>
      <c r="E6" s="5" t="s">
        <v>2</v>
      </c>
      <c r="F6" s="5" t="s">
        <v>9</v>
      </c>
      <c r="G6" s="5" t="s">
        <v>13</v>
      </c>
      <c r="H6" s="5" t="s">
        <v>14</v>
      </c>
      <c r="I6" s="5" t="s">
        <v>16</v>
      </c>
      <c r="J6" s="5" t="s">
        <v>17</v>
      </c>
      <c r="K6" s="21" t="s">
        <v>12</v>
      </c>
      <c r="M6" s="8"/>
      <c r="N6" s="8"/>
      <c r="O6" s="8"/>
      <c r="P6" s="8"/>
    </row>
    <row r="7" spans="1:35" ht="16" x14ac:dyDescent="0.2">
      <c r="C7" s="13" t="s">
        <v>15</v>
      </c>
      <c r="D7" s="6">
        <v>0</v>
      </c>
      <c r="E7" s="6">
        <v>0</v>
      </c>
      <c r="F7" s="22">
        <v>0</v>
      </c>
      <c r="G7" s="22">
        <v>0</v>
      </c>
      <c r="H7" s="6">
        <v>0</v>
      </c>
      <c r="I7" s="6">
        <v>1</v>
      </c>
      <c r="J7" s="6">
        <v>1</v>
      </c>
      <c r="K7" s="23">
        <v>0</v>
      </c>
    </row>
    <row r="8" spans="1:35" ht="16" x14ac:dyDescent="0.2">
      <c r="C8" s="13" t="s">
        <v>2</v>
      </c>
      <c r="D8" s="6">
        <v>0</v>
      </c>
      <c r="E8" s="6">
        <v>1</v>
      </c>
      <c r="F8" s="22">
        <v>0.6</v>
      </c>
      <c r="G8" s="22">
        <v>-0.3</v>
      </c>
      <c r="H8" s="6">
        <v>0.1</v>
      </c>
      <c r="I8" s="6">
        <v>0.3</v>
      </c>
      <c r="J8" s="6">
        <v>-0.1</v>
      </c>
      <c r="K8" s="23">
        <v>1.8</v>
      </c>
    </row>
    <row r="9" spans="1:35" ht="16" x14ac:dyDescent="0.2">
      <c r="C9" s="13" t="s">
        <v>1</v>
      </c>
      <c r="D9" s="6">
        <v>1</v>
      </c>
      <c r="E9" s="6">
        <v>0</v>
      </c>
      <c r="F9" s="22">
        <v>-0.4</v>
      </c>
      <c r="G9" s="22">
        <v>0.2</v>
      </c>
      <c r="H9" s="6">
        <v>-0.4</v>
      </c>
      <c r="I9" s="6">
        <v>-0.2</v>
      </c>
      <c r="J9" s="6">
        <v>0.4</v>
      </c>
      <c r="K9" s="23">
        <v>0.8</v>
      </c>
    </row>
    <row r="10" spans="1:35" x14ac:dyDescent="0.2">
      <c r="H10" s="9"/>
      <c r="I10" s="9"/>
      <c r="J10" s="9"/>
      <c r="K10" s="9"/>
      <c r="L10" s="9"/>
      <c r="M10" s="9"/>
      <c r="N10" s="9"/>
      <c r="O10" s="9"/>
      <c r="P10" s="9"/>
      <c r="Q10" s="9"/>
    </row>
    <row r="11" spans="1:35" x14ac:dyDescent="0.2">
      <c r="H11" s="9"/>
      <c r="I11" s="9"/>
      <c r="J11" s="9"/>
      <c r="K11" s="9"/>
      <c r="L11" s="9"/>
      <c r="M11" s="9"/>
      <c r="N11" s="9"/>
      <c r="O11" s="9"/>
      <c r="P11" s="9"/>
      <c r="Q11" s="9"/>
    </row>
    <row r="12" spans="1:35" x14ac:dyDescent="0.2">
      <c r="H12" s="9"/>
      <c r="I12" s="9"/>
      <c r="J12" s="9"/>
      <c r="K12" s="9"/>
      <c r="L12" s="9"/>
      <c r="M12" s="9"/>
      <c r="N12" s="9"/>
      <c r="O12" s="9"/>
      <c r="P12" s="9"/>
      <c r="Q12" s="9"/>
    </row>
    <row r="13" spans="1:35" x14ac:dyDescent="0.2">
      <c r="H13" s="9"/>
      <c r="I13" s="9"/>
      <c r="J13" s="9"/>
      <c r="K13" s="9"/>
      <c r="L13" s="9"/>
      <c r="M13" s="9"/>
      <c r="N13" s="9"/>
      <c r="O13" s="9"/>
      <c r="P13" s="9"/>
      <c r="Q13" s="9"/>
    </row>
    <row r="14" spans="1:35" x14ac:dyDescent="0.2">
      <c r="C14" s="10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Y14" s="9"/>
    </row>
    <row r="15" spans="1:35" x14ac:dyDescent="0.2">
      <c r="C15" s="10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E15" s="9"/>
    </row>
    <row r="16" spans="1:35" x14ac:dyDescent="0.2">
      <c r="C16" s="10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I16" s="9"/>
    </row>
    <row r="17" spans="3:36" x14ac:dyDescent="0.2">
      <c r="U17" s="6"/>
      <c r="V17" s="6"/>
      <c r="W17" s="6"/>
      <c r="X17" s="6"/>
      <c r="Y17" s="6"/>
      <c r="Z17" s="6"/>
      <c r="AA17" s="6"/>
      <c r="AB17" s="6"/>
      <c r="AC17" s="6"/>
      <c r="AD17" s="6"/>
      <c r="AE17" s="4"/>
      <c r="AI17" s="9"/>
    </row>
    <row r="18" spans="3:36" ht="16" thickBot="1" x14ac:dyDescent="0.25">
      <c r="E18" s="8" t="str">
        <f>IF(D6="","",D6)</f>
        <v>x1</v>
      </c>
      <c r="F18" s="8" t="str">
        <f>IF(E6="","",E6)</f>
        <v>x2</v>
      </c>
      <c r="G18" s="8"/>
      <c r="H18" s="8" t="str">
        <f>IF(F6="","",F6)</f>
        <v>x3</v>
      </c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AA18" s="6"/>
      <c r="AB18" s="6"/>
      <c r="AC18" s="6"/>
      <c r="AD18" s="6"/>
      <c r="AE18" s="4"/>
      <c r="AI18" s="9"/>
    </row>
    <row r="19" spans="3:36" ht="16" thickBot="1" x14ac:dyDescent="0.25">
      <c r="C19" s="11"/>
      <c r="D19" s="12" t="s">
        <v>10</v>
      </c>
      <c r="E19" s="15" t="e">
        <f>IF(#REF!&gt;0,#REF!/#REF!," ")</f>
        <v>#REF!</v>
      </c>
      <c r="F19" s="16" t="e">
        <f>IF(#REF!&gt;0,#REF!/#REF!," ")</f>
        <v>#REF!</v>
      </c>
      <c r="G19" s="16"/>
      <c r="H19" s="16" t="e">
        <f>IF(#REF!&gt;0,#REF!/#REF!," ")</f>
        <v>#REF!</v>
      </c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8" t="str">
        <f>IF(H6="","",H6)</f>
        <v>x5</v>
      </c>
      <c r="V19" s="8"/>
      <c r="W19" s="8"/>
      <c r="X19" s="8"/>
      <c r="Y19" s="8"/>
      <c r="Z19" s="8"/>
      <c r="AE19" s="4"/>
      <c r="AI19" s="9"/>
    </row>
    <row r="20" spans="3:36" ht="16" thickBot="1" x14ac:dyDescent="0.25">
      <c r="C20" s="12"/>
      <c r="E20" s="17">
        <v>0</v>
      </c>
      <c r="F20" s="18" t="e">
        <f>IF(#REF!&gt;0,#REF!/#REF!," ")</f>
        <v>#REF!</v>
      </c>
      <c r="G20" s="18"/>
      <c r="H20" s="18" t="e">
        <f>IF(#REF!&gt;0,#REF!/#REF!," ")</f>
        <v>#REF!</v>
      </c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6" t="e">
        <f>IF(#REF!&gt;0,#REF!/#REF!," ")</f>
        <v>#REF!</v>
      </c>
      <c r="V20" s="16"/>
      <c r="W20" s="16"/>
      <c r="X20" s="16"/>
      <c r="Y20" s="16"/>
      <c r="Z20" s="16"/>
      <c r="AA20" s="8"/>
      <c r="AB20" s="8"/>
      <c r="AC20" s="8"/>
      <c r="AD20" s="8" t="e">
        <f>IF(#REF!="","",#REF!)</f>
        <v>#REF!</v>
      </c>
      <c r="AF20" s="4"/>
      <c r="AJ20" s="9"/>
    </row>
    <row r="21" spans="3:36" ht="16" thickBot="1" x14ac:dyDescent="0.25">
      <c r="C21" s="11"/>
      <c r="E21" s="19" t="e">
        <f>IF(#REF!&gt;0,#REF!/#REF!," ")</f>
        <v>#REF!</v>
      </c>
      <c r="F21" s="20" t="e">
        <f>IF(#REF!&gt;0,#REF!/#REF!," ")</f>
        <v>#REF!</v>
      </c>
      <c r="G21" s="20"/>
      <c r="H21" s="20" t="e">
        <f>IF(#REF!&gt;0,#REF!/#REF!," ")</f>
        <v>#REF!</v>
      </c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18" t="e">
        <f>IF(#REF!&gt;0,#REF!/#REF!," ")</f>
        <v>#REF!</v>
      </c>
      <c r="V21" s="18"/>
      <c r="W21" s="18"/>
      <c r="X21" s="18"/>
      <c r="Y21" s="18"/>
      <c r="Z21" s="18"/>
      <c r="AA21" s="16"/>
      <c r="AB21" s="16"/>
      <c r="AC21" s="16"/>
      <c r="AD21" s="16" t="e">
        <f>IF(#REF!&gt;0,#REF!/#REF!," ")</f>
        <v>#REF!</v>
      </c>
      <c r="AE21" s="8" t="e">
        <f>IF(#REF!="","",#REF!)</f>
        <v>#REF!</v>
      </c>
      <c r="AF21" s="4"/>
      <c r="AJ21" s="9"/>
    </row>
    <row r="22" spans="3:36" x14ac:dyDescent="0.2">
      <c r="C22" s="11"/>
      <c r="D22" s="12"/>
      <c r="E22" s="17" t="str">
        <f>IF(D14&gt;0,#REF!/D14," ")</f>
        <v xml:space="preserve"> </v>
      </c>
      <c r="F22" s="18" t="str">
        <f>IF(E14&gt;0,#REF!/E14," ")</f>
        <v xml:space="preserve"> </v>
      </c>
      <c r="G22" s="18"/>
      <c r="H22" s="18" t="str">
        <f>IF(F14&gt;0,#REF!/F14," ")</f>
        <v xml:space="preserve"> </v>
      </c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20" t="e">
        <f>IF(#REF!&gt;0,#REF!/#REF!," ")</f>
        <v>#REF!</v>
      </c>
      <c r="V22" s="20"/>
      <c r="W22" s="20"/>
      <c r="X22" s="20"/>
      <c r="Y22" s="20"/>
      <c r="Z22" s="20"/>
      <c r="AA22" s="18"/>
      <c r="AB22" s="18"/>
      <c r="AC22" s="18"/>
      <c r="AD22" s="18" t="e">
        <f>IF(#REF!&gt;0,#REF!/#REF!," ")</f>
        <v>#REF!</v>
      </c>
      <c r="AE22" s="16" t="e">
        <f>IF(#REF!&gt;0,#REF!/#REF!," ")</f>
        <v>#REF!</v>
      </c>
      <c r="AF22" s="13"/>
      <c r="AG22" s="8"/>
      <c r="AH22" s="8"/>
      <c r="AI22" s="8"/>
      <c r="AJ22" s="8"/>
    </row>
    <row r="23" spans="3:36" x14ac:dyDescent="0.2">
      <c r="C23" s="11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18" t="str">
        <f>IF(H14&gt;0,#REF!/H14," ")</f>
        <v xml:space="preserve"> </v>
      </c>
      <c r="V23" s="18"/>
      <c r="W23" s="18"/>
      <c r="X23" s="18"/>
      <c r="Y23" s="18"/>
      <c r="Z23" s="18"/>
      <c r="AA23" s="20"/>
      <c r="AB23" s="20"/>
      <c r="AC23" s="20"/>
      <c r="AD23" s="20" t="e">
        <f>IF(#REF!&gt;0,#REF!/#REF!," ")</f>
        <v>#REF!</v>
      </c>
      <c r="AE23" s="18" t="e">
        <f>IF(#REF!&gt;0,#REF!/#REF!," ")</f>
        <v>#REF!</v>
      </c>
      <c r="AF23" s="4"/>
      <c r="AG23" s="8"/>
      <c r="AH23" s="8"/>
      <c r="AI23" s="8"/>
      <c r="AJ23" s="8"/>
    </row>
    <row r="24" spans="3:36" x14ac:dyDescent="0.2">
      <c r="C24" s="12"/>
      <c r="U24" s="8"/>
      <c r="V24" s="8"/>
      <c r="W24" s="8"/>
      <c r="X24" s="8"/>
      <c r="Y24" s="8"/>
      <c r="Z24" s="8"/>
      <c r="AA24" s="18"/>
      <c r="AB24" s="18"/>
      <c r="AC24" s="18"/>
      <c r="AD24" s="18" t="str">
        <f>IF(U15&gt;0,#REF!/U15," ")</f>
        <v xml:space="preserve"> </v>
      </c>
      <c r="AE24" s="20" t="e">
        <f>IF(#REF!&gt;0,#REF!/#REF!," ")</f>
        <v>#REF!</v>
      </c>
      <c r="AF24" s="4"/>
    </row>
    <row r="25" spans="3:36" x14ac:dyDescent="0.2">
      <c r="C25" s="11"/>
      <c r="AA25" s="8"/>
      <c r="AB25" s="8"/>
      <c r="AC25" s="8"/>
      <c r="AD25" s="8"/>
      <c r="AE25" s="18" t="str">
        <f>IF(AD16&gt;0,#REF!/AD16," ")</f>
        <v xml:space="preserve"> </v>
      </c>
      <c r="AF25" s="4"/>
      <c r="AJ25" s="9"/>
    </row>
    <row r="26" spans="3:36" ht="16" thickBot="1" x14ac:dyDescent="0.25">
      <c r="C26" s="11"/>
      <c r="E26" s="8" t="str">
        <f>IF(D6="","",D6)</f>
        <v>x1</v>
      </c>
      <c r="F26" s="8" t="str">
        <f>IF(E6="","",E6)</f>
        <v>x2</v>
      </c>
      <c r="G26" s="8"/>
      <c r="H26" s="8" t="str">
        <f>IF(F6="","",F6)</f>
        <v>x3</v>
      </c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AE26" s="8"/>
      <c r="AF26" s="4"/>
      <c r="AJ26" s="9"/>
    </row>
    <row r="27" spans="3:36" ht="16" thickBot="1" x14ac:dyDescent="0.25">
      <c r="C27" s="11"/>
      <c r="D27" s="12" t="s">
        <v>11</v>
      </c>
      <c r="E27" s="15" t="e">
        <f>IF(#REF!&lt;0,-D$7/#REF!," ")</f>
        <v>#REF!</v>
      </c>
      <c r="F27" s="16" t="e">
        <f>IF(#REF!&lt;0,-E$7/#REF!," ")</f>
        <v>#REF!</v>
      </c>
      <c r="G27" s="16"/>
      <c r="H27" s="16" t="e">
        <f>IF(#REF!&lt;0,-F$7/#REF!," ")</f>
        <v>#REF!</v>
      </c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8" t="str">
        <f>IF(H6="","",H6)</f>
        <v>x5</v>
      </c>
      <c r="V27" s="8"/>
      <c r="W27" s="8"/>
      <c r="X27" s="8"/>
      <c r="Y27" s="8"/>
      <c r="Z27" s="8"/>
      <c r="AF27" s="13"/>
      <c r="AG27" s="8"/>
      <c r="AH27" s="8"/>
      <c r="AI27" s="8"/>
      <c r="AJ27" s="8"/>
    </row>
    <row r="28" spans="3:36" ht="16" thickBot="1" x14ac:dyDescent="0.25">
      <c r="C28" s="11"/>
      <c r="D28" s="11"/>
      <c r="E28" s="17" t="e">
        <f>IF(#REF!&lt;0,-D$7/#REF!," ")</f>
        <v>#REF!</v>
      </c>
      <c r="F28" s="18" t="e">
        <f>IF(#REF!&lt;0,-E$7/#REF!," ")</f>
        <v>#REF!</v>
      </c>
      <c r="G28" s="18"/>
      <c r="H28" s="18" t="e">
        <f>IF(#REF!&lt;0,-F$7/#REF!," ")</f>
        <v>#REF!</v>
      </c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6" t="e">
        <f>IF(#REF!&lt;0,-H$7/#REF!," ")</f>
        <v>#REF!</v>
      </c>
      <c r="V28" s="16"/>
      <c r="W28" s="16"/>
      <c r="X28" s="16"/>
      <c r="Y28" s="16"/>
      <c r="Z28" s="16"/>
      <c r="AA28" s="8"/>
      <c r="AB28" s="8"/>
      <c r="AC28" s="8"/>
      <c r="AD28" s="8" t="e">
        <f>IF(#REF!="","",#REF!)</f>
        <v>#REF!</v>
      </c>
      <c r="AF28" s="4"/>
      <c r="AG28" s="8"/>
      <c r="AH28" s="8"/>
      <c r="AI28" s="8"/>
      <c r="AJ28" s="8"/>
    </row>
    <row r="29" spans="3:36" ht="16" thickBot="1" x14ac:dyDescent="0.25">
      <c r="C29" s="4"/>
      <c r="D29" s="5"/>
      <c r="E29" s="19" t="e">
        <f>IF(#REF!&lt;0,-D$7/#REF!," ")</f>
        <v>#REF!</v>
      </c>
      <c r="F29" s="20" t="e">
        <f>IF(#REF!&lt;0,-E$7/#REF!," ")</f>
        <v>#REF!</v>
      </c>
      <c r="G29" s="20"/>
      <c r="H29" s="20" t="e">
        <f>IF(#REF!&lt;0,-F$7/#REF!," ")</f>
        <v>#REF!</v>
      </c>
      <c r="I29" s="20"/>
      <c r="J29" s="20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18" t="e">
        <f>IF(#REF!&lt;0,-H$7/#REF!," ")</f>
        <v>#REF!</v>
      </c>
      <c r="V29" s="18"/>
      <c r="W29" s="18"/>
      <c r="X29" s="18"/>
      <c r="Y29" s="18"/>
      <c r="Z29" s="18"/>
      <c r="AA29" s="16"/>
      <c r="AB29" s="16"/>
      <c r="AC29" s="16"/>
      <c r="AD29" s="16" t="e">
        <f>IF(#REF!&lt;0,-#REF!/#REF!," ")</f>
        <v>#REF!</v>
      </c>
      <c r="AE29" s="8" t="e">
        <f>IF(#REF!="","",#REF!)</f>
        <v>#REF!</v>
      </c>
      <c r="AF29" s="4"/>
    </row>
    <row r="30" spans="3:36" x14ac:dyDescent="0.2">
      <c r="C30" s="4"/>
      <c r="D30" s="5"/>
      <c r="E30" s="17" t="str">
        <f>IF(D14&lt;0,-D$7/D14," ")</f>
        <v xml:space="preserve"> </v>
      </c>
      <c r="F30" s="18" t="str">
        <f>IF(E14&lt;0,-E$7/E14," ")</f>
        <v xml:space="preserve"> </v>
      </c>
      <c r="G30" s="18"/>
      <c r="H30" s="18" t="str">
        <f>IF(F14&lt;0,-F$7/F14," ")</f>
        <v xml:space="preserve"> </v>
      </c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20" t="e">
        <f>IF(#REF!&lt;0,-H$7/#REF!," ")</f>
        <v>#REF!</v>
      </c>
      <c r="V30" s="20"/>
      <c r="W30" s="20"/>
      <c r="X30" s="20"/>
      <c r="Y30" s="20"/>
      <c r="Z30" s="20"/>
      <c r="AA30" s="18"/>
      <c r="AB30" s="18"/>
      <c r="AC30" s="18"/>
      <c r="AD30" s="18" t="e">
        <f>IF(#REF!&lt;0,-#REF!/#REF!," ")</f>
        <v>#REF!</v>
      </c>
      <c r="AE30" s="16" t="e">
        <f>IF(#REF!&lt;0,-#REF!/#REF!," ")</f>
        <v>#REF!</v>
      </c>
      <c r="AF30" s="4"/>
      <c r="AJ30" s="9"/>
    </row>
    <row r="31" spans="3:36" x14ac:dyDescent="0.2">
      <c r="C31" s="10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18" t="str">
        <f>IF(H14&lt;0,-H$7/H14," ")</f>
        <v xml:space="preserve"> </v>
      </c>
      <c r="V31" s="18"/>
      <c r="W31" s="18"/>
      <c r="X31" s="18"/>
      <c r="Y31" s="18"/>
      <c r="Z31" s="18"/>
      <c r="AA31" s="20"/>
      <c r="AB31" s="20"/>
      <c r="AC31" s="20"/>
      <c r="AD31" s="20" t="e">
        <f>IF(#REF!&lt;0,-#REF!/#REF!," ")</f>
        <v>#REF!</v>
      </c>
      <c r="AE31" s="18" t="e">
        <f>IF(#REF!&lt;0,-#REF!/#REF!," ")</f>
        <v>#REF!</v>
      </c>
      <c r="AF31" s="4"/>
      <c r="AJ31" s="9"/>
    </row>
    <row r="32" spans="3:36" x14ac:dyDescent="0.2">
      <c r="C32" s="4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18"/>
      <c r="AB32" s="18"/>
      <c r="AC32" s="18"/>
      <c r="AD32" s="18" t="str">
        <f>IF(U15&lt;0,-#REF!/U15," ")</f>
        <v xml:space="preserve"> </v>
      </c>
      <c r="AE32" s="20" t="e">
        <f>IF(#REF!&lt;0,-#REF!/#REF!," ")</f>
        <v>#REF!</v>
      </c>
      <c r="AF32" s="4"/>
      <c r="AJ32" s="9"/>
    </row>
    <row r="33" spans="3:36" x14ac:dyDescent="0.2">
      <c r="C33" s="4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18" t="str">
        <f>IF(AD16&lt;0,-#REF!/AD16," ")</f>
        <v xml:space="preserve"> </v>
      </c>
      <c r="AG33" s="8"/>
      <c r="AH33" s="8"/>
      <c r="AI33" s="8"/>
      <c r="AJ33" s="8"/>
    </row>
    <row r="34" spans="3:36" x14ac:dyDescent="0.2">
      <c r="C34" s="14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5"/>
    </row>
    <row r="35" spans="3:36" x14ac:dyDescent="0.2">
      <c r="C35" s="4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5"/>
      <c r="AJ35" s="9"/>
    </row>
    <row r="36" spans="3:36" x14ac:dyDescent="0.2">
      <c r="C36" s="4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6"/>
      <c r="AB36" s="6"/>
      <c r="AC36" s="6"/>
      <c r="AD36" s="6"/>
      <c r="AE36" s="6"/>
      <c r="AJ36" s="9"/>
    </row>
    <row r="37" spans="3:36" x14ac:dyDescent="0.2">
      <c r="C37" s="10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5"/>
      <c r="V37" s="5"/>
      <c r="W37" s="5"/>
      <c r="X37" s="5"/>
      <c r="Y37" s="5"/>
      <c r="Z37" s="5"/>
      <c r="AA37" s="5"/>
      <c r="AB37" s="5"/>
      <c r="AC37" s="5"/>
      <c r="AD37" s="5"/>
      <c r="AE37" s="6"/>
      <c r="AG37" s="8"/>
      <c r="AH37" s="8"/>
      <c r="AI37" s="8"/>
      <c r="AJ37" s="8"/>
    </row>
    <row r="38" spans="3:36" x14ac:dyDescent="0.2">
      <c r="C38" s="4"/>
      <c r="D38" s="3"/>
      <c r="E38" s="6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6"/>
      <c r="V38" s="6"/>
      <c r="W38" s="6"/>
      <c r="X38" s="6"/>
      <c r="Y38" s="6"/>
      <c r="Z38" s="6"/>
      <c r="AA38" s="5"/>
      <c r="AB38" s="5"/>
      <c r="AC38" s="5"/>
      <c r="AD38" s="5"/>
      <c r="AE38" s="5"/>
      <c r="AG38" s="8"/>
      <c r="AH38" s="8"/>
      <c r="AI38" s="8"/>
      <c r="AJ38" s="8"/>
    </row>
    <row r="39" spans="3:36" x14ac:dyDescent="0.2">
      <c r="C39" s="4"/>
      <c r="D39" s="3"/>
      <c r="E39" s="6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</row>
    <row r="40" spans="3:36" x14ac:dyDescent="0.2">
      <c r="C40" s="14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J40" s="9"/>
    </row>
    <row r="41" spans="3:36" x14ac:dyDescent="0.2">
      <c r="C41" s="4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J41" s="9"/>
    </row>
    <row r="42" spans="3:36" x14ac:dyDescent="0.2">
      <c r="C42" s="4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</row>
    <row r="43" spans="3:36" x14ac:dyDescent="0.2">
      <c r="C43" s="10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5"/>
      <c r="V43" s="5"/>
      <c r="W43" s="5"/>
      <c r="X43" s="5"/>
      <c r="Y43" s="5"/>
      <c r="Z43" s="5"/>
      <c r="AA43" s="6"/>
      <c r="AB43" s="6"/>
      <c r="AC43" s="6"/>
      <c r="AD43" s="6"/>
      <c r="AE43" s="6"/>
    </row>
    <row r="44" spans="3:36" x14ac:dyDescent="0.2">
      <c r="C44" s="4"/>
      <c r="D44" s="3"/>
      <c r="E44" s="6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6"/>
      <c r="V44" s="6"/>
      <c r="W44" s="6"/>
      <c r="X44" s="6"/>
      <c r="Y44" s="6"/>
      <c r="Z44" s="6"/>
      <c r="AA44" s="5"/>
      <c r="AB44" s="5"/>
      <c r="AC44" s="5"/>
      <c r="AD44" s="5"/>
      <c r="AE44" s="6"/>
    </row>
    <row r="45" spans="3:36" x14ac:dyDescent="0.2">
      <c r="C45" s="4"/>
      <c r="D45" s="3"/>
      <c r="E45" s="6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6"/>
      <c r="V45" s="6"/>
      <c r="W45" s="6"/>
      <c r="X45" s="6"/>
      <c r="Y45" s="6"/>
      <c r="Z45" s="6"/>
      <c r="AA45" s="6"/>
      <c r="AB45" s="6"/>
      <c r="AC45" s="6"/>
      <c r="AD45" s="6"/>
      <c r="AE45" s="5"/>
    </row>
    <row r="46" spans="3:36" x14ac:dyDescent="0.2">
      <c r="C46" s="14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</row>
    <row r="47" spans="3:36" x14ac:dyDescent="0.2">
      <c r="C47" s="10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</row>
    <row r="48" spans="3:36" x14ac:dyDescent="0.2">
      <c r="C48" s="4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</row>
    <row r="49" spans="3:31" x14ac:dyDescent="0.2">
      <c r="C49" s="4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</row>
    <row r="50" spans="3:31" x14ac:dyDescent="0.2">
      <c r="C50" s="10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5"/>
      <c r="V50" s="5"/>
      <c r="W50" s="5"/>
      <c r="X50" s="5"/>
      <c r="Y50" s="5"/>
      <c r="Z50" s="5"/>
      <c r="AA50" s="6"/>
      <c r="AB50" s="6"/>
      <c r="AC50" s="6"/>
      <c r="AD50" s="6"/>
      <c r="AE50" s="6"/>
    </row>
    <row r="51" spans="3:31" x14ac:dyDescent="0.2">
      <c r="C51" s="4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5"/>
      <c r="AB51" s="5"/>
      <c r="AC51" s="5"/>
      <c r="AD51" s="5"/>
      <c r="AE51" s="6"/>
    </row>
    <row r="52" spans="3:31" x14ac:dyDescent="0.2">
      <c r="C52" s="4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5"/>
    </row>
    <row r="53" spans="3:31" x14ac:dyDescent="0.2">
      <c r="C53" s="14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</row>
    <row r="54" spans="3:31" x14ac:dyDescent="0.2">
      <c r="C54" s="10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</row>
    <row r="55" spans="3:31" x14ac:dyDescent="0.2">
      <c r="C55" s="11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</row>
    <row r="56" spans="3:31" x14ac:dyDescent="0.2">
      <c r="C56" s="4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AA56" s="6"/>
      <c r="AB56" s="6"/>
      <c r="AC56" s="6"/>
      <c r="AD56" s="6"/>
      <c r="AE56" s="6"/>
    </row>
    <row r="57" spans="3:31" x14ac:dyDescent="0.2">
      <c r="C57" s="4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E57" s="6"/>
    </row>
    <row r="58" spans="3:31" x14ac:dyDescent="0.2">
      <c r="C58" s="10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5"/>
      <c r="V58" s="5"/>
      <c r="W58" s="5"/>
      <c r="X58" s="5"/>
      <c r="Y58" s="5"/>
      <c r="Z58" s="5"/>
      <c r="AA58" s="5"/>
      <c r="AB58" s="5"/>
      <c r="AC58" s="5"/>
      <c r="AD58" s="5"/>
      <c r="AE58" s="9"/>
    </row>
    <row r="59" spans="3:31" x14ac:dyDescent="0.2">
      <c r="C59" s="4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5"/>
      <c r="AB59" s="5"/>
      <c r="AC59" s="5"/>
      <c r="AD59" s="5"/>
      <c r="AE59" s="5"/>
    </row>
    <row r="60" spans="3:31" x14ac:dyDescent="0.2">
      <c r="C60" s="4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5"/>
    </row>
    <row r="61" spans="3:31" x14ac:dyDescent="0.2">
      <c r="C61" s="14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</row>
    <row r="62" spans="3:31" x14ac:dyDescent="0.2">
      <c r="C62" s="10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</row>
    <row r="63" spans="3:31" x14ac:dyDescent="0.2">
      <c r="C63" s="10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</row>
    <row r="64" spans="3:31" x14ac:dyDescent="0.2">
      <c r="C64" s="4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</row>
    <row r="65" spans="3:31" x14ac:dyDescent="0.2">
      <c r="C65" s="4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</row>
    <row r="66" spans="3:31" x14ac:dyDescent="0.2">
      <c r="C66" s="4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</row>
    <row r="67" spans="3:31" x14ac:dyDescent="0.2">
      <c r="C67" s="4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</row>
    <row r="68" spans="3:31" x14ac:dyDescent="0.2">
      <c r="C68" s="4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</row>
    <row r="69" spans="3:31" x14ac:dyDescent="0.2">
      <c r="C69" s="10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5"/>
      <c r="V69" s="5"/>
      <c r="W69" s="5"/>
      <c r="X69" s="5"/>
      <c r="Y69" s="5"/>
      <c r="Z69" s="5"/>
      <c r="AA69" s="6"/>
      <c r="AB69" s="6"/>
      <c r="AC69" s="6"/>
      <c r="AD69" s="6"/>
      <c r="AE69" s="6"/>
    </row>
    <row r="70" spans="3:31" x14ac:dyDescent="0.2">
      <c r="C70" s="4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5"/>
      <c r="AB70" s="5"/>
      <c r="AC70" s="5"/>
      <c r="AD70" s="5"/>
      <c r="AE70" s="6"/>
    </row>
    <row r="71" spans="3:31" x14ac:dyDescent="0.2">
      <c r="C71" s="4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5"/>
    </row>
    <row r="72" spans="3:31" x14ac:dyDescent="0.2">
      <c r="C72" s="4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</row>
    <row r="73" spans="3:31" x14ac:dyDescent="0.2">
      <c r="C73" s="4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</row>
    <row r="74" spans="3:31" x14ac:dyDescent="0.2">
      <c r="C74" s="4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</row>
    <row r="75" spans="3:31" x14ac:dyDescent="0.2">
      <c r="C75" s="10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5"/>
      <c r="V75" s="5"/>
      <c r="W75" s="5"/>
      <c r="X75" s="5"/>
      <c r="Y75" s="5"/>
      <c r="Z75" s="5"/>
      <c r="AA75" s="6"/>
      <c r="AB75" s="6"/>
      <c r="AC75" s="6"/>
      <c r="AD75" s="6"/>
      <c r="AE75" s="6"/>
    </row>
    <row r="76" spans="3:31" x14ac:dyDescent="0.2">
      <c r="C76" s="4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5"/>
      <c r="AB76" s="5"/>
      <c r="AC76" s="5"/>
      <c r="AD76" s="5"/>
      <c r="AE76" s="6"/>
    </row>
    <row r="77" spans="3:31" x14ac:dyDescent="0.2">
      <c r="C77" s="4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5"/>
    </row>
    <row r="78" spans="3:31" x14ac:dyDescent="0.2">
      <c r="C78" s="4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</row>
    <row r="79" spans="3:31" x14ac:dyDescent="0.2">
      <c r="C79" s="4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6"/>
      <c r="AB79" s="6"/>
      <c r="AC79" s="6"/>
      <c r="AD79" s="6"/>
      <c r="AE79" s="6"/>
    </row>
    <row r="80" spans="3:31" x14ac:dyDescent="0.2">
      <c r="C80" s="10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5"/>
      <c r="V80" s="5"/>
      <c r="W80" s="5"/>
      <c r="X80" s="5"/>
      <c r="Y80" s="5"/>
      <c r="Z80" s="5"/>
      <c r="AA80" s="5"/>
      <c r="AB80" s="5"/>
      <c r="AC80" s="5"/>
      <c r="AD80" s="5"/>
      <c r="AE80" s="6"/>
    </row>
    <row r="81" spans="3:31" x14ac:dyDescent="0.2">
      <c r="C81" s="4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5"/>
      <c r="AB81" s="5"/>
      <c r="AC81" s="5"/>
      <c r="AD81" s="5"/>
      <c r="AE81" s="5"/>
    </row>
    <row r="82" spans="3:31" x14ac:dyDescent="0.2">
      <c r="C82" s="4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5"/>
    </row>
    <row r="83" spans="3:31" x14ac:dyDescent="0.2">
      <c r="C83" s="4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</row>
    <row r="84" spans="3:31" x14ac:dyDescent="0.2"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</row>
    <row r="85" spans="3:31" x14ac:dyDescent="0.2">
      <c r="C85" s="4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AA85" s="6"/>
      <c r="AB85" s="6"/>
      <c r="AC85" s="6"/>
      <c r="AD85" s="6"/>
      <c r="AE85" s="6"/>
    </row>
    <row r="86" spans="3:31" x14ac:dyDescent="0.2">
      <c r="C86" s="10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5"/>
      <c r="V86" s="5"/>
      <c r="W86" s="5"/>
      <c r="X86" s="5"/>
      <c r="Y86" s="5"/>
      <c r="Z86" s="5"/>
      <c r="AE86" s="6"/>
    </row>
    <row r="87" spans="3:31" x14ac:dyDescent="0.2">
      <c r="C87" s="4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5"/>
      <c r="AB87" s="5"/>
      <c r="AC87" s="5"/>
      <c r="AD87" s="5"/>
    </row>
    <row r="88" spans="3:31" x14ac:dyDescent="0.2">
      <c r="C88" s="4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5"/>
    </row>
    <row r="89" spans="3:31" x14ac:dyDescent="0.2">
      <c r="C89" s="4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</row>
    <row r="90" spans="3:31" x14ac:dyDescent="0.2">
      <c r="C90" s="4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</row>
    <row r="91" spans="3:31" x14ac:dyDescent="0.2"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</row>
    <row r="92" spans="3:31" x14ac:dyDescent="0.2">
      <c r="AA92" s="6"/>
      <c r="AB92" s="6"/>
      <c r="AC92" s="6"/>
      <c r="AD92" s="6"/>
      <c r="AE92" s="6"/>
    </row>
    <row r="93" spans="3:31" x14ac:dyDescent="0.2">
      <c r="AE93" s="6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ivot">
                <anchor moveWithCells="1" sizeWithCells="1">
                  <from>
                    <xdr:col>3</xdr:col>
                    <xdr:colOff>76200</xdr:colOff>
                    <xdr:row>2</xdr:row>
                    <xdr:rowOff>38100</xdr:rowOff>
                  </from>
                  <to>
                    <xdr:col>4</xdr:col>
                    <xdr:colOff>76200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VisSomBrøker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7</xdr:col>
                    <xdr:colOff>723900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VisSomDecimaltal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1"/>
  <dimension ref="A2:H12"/>
  <sheetViews>
    <sheetView workbookViewId="0">
      <selection activeCell="B8" sqref="B8:H9"/>
    </sheetView>
  </sheetViews>
  <sheetFormatPr baseColWidth="10" defaultColWidth="8.83203125" defaultRowHeight="15" x14ac:dyDescent="0.2"/>
  <sheetData>
    <row r="2" spans="1:8" x14ac:dyDescent="0.2">
      <c r="A2" t="s">
        <v>5</v>
      </c>
      <c r="B2">
        <v>1</v>
      </c>
      <c r="C2">
        <v>0</v>
      </c>
    </row>
    <row r="3" spans="1:8" x14ac:dyDescent="0.2">
      <c r="B3">
        <v>0</v>
      </c>
      <c r="C3">
        <v>1</v>
      </c>
    </row>
    <row r="5" spans="1:8" x14ac:dyDescent="0.2">
      <c r="A5" s="1" t="s">
        <v>6</v>
      </c>
      <c r="B5">
        <f t="array" ref="B5:C6">MINVERSE(B2:C3)</f>
        <v>1</v>
      </c>
      <c r="C5">
        <v>0</v>
      </c>
    </row>
    <row r="6" spans="1:8" x14ac:dyDescent="0.2">
      <c r="B6">
        <v>0</v>
      </c>
      <c r="C6">
        <v>1</v>
      </c>
    </row>
    <row r="8" spans="1:8" x14ac:dyDescent="0.2">
      <c r="A8" t="s">
        <v>7</v>
      </c>
      <c r="B8">
        <v>3</v>
      </c>
      <c r="C8">
        <v>6</v>
      </c>
      <c r="D8">
        <v>3</v>
      </c>
      <c r="E8">
        <v>-1</v>
      </c>
      <c r="F8">
        <v>0</v>
      </c>
      <c r="G8">
        <v>1</v>
      </c>
      <c r="H8">
        <v>0</v>
      </c>
    </row>
    <row r="9" spans="1:8" x14ac:dyDescent="0.2">
      <c r="B9">
        <v>5</v>
      </c>
      <c r="C9">
        <v>4</v>
      </c>
      <c r="D9">
        <v>0</v>
      </c>
      <c r="E9">
        <v>0</v>
      </c>
      <c r="F9">
        <v>-1</v>
      </c>
      <c r="G9">
        <v>0</v>
      </c>
      <c r="H9">
        <v>1</v>
      </c>
    </row>
    <row r="11" spans="1:8" x14ac:dyDescent="0.2">
      <c r="A11" t="s">
        <v>8</v>
      </c>
      <c r="B11" cm="1">
        <f t="array" ref="B11:H12">MMULT(B5:C6,B8:H9)</f>
        <v>3</v>
      </c>
      <c r="C11">
        <v>6</v>
      </c>
      <c r="D11">
        <v>3</v>
      </c>
      <c r="E11">
        <v>-1</v>
      </c>
      <c r="F11">
        <v>0</v>
      </c>
      <c r="G11">
        <v>1</v>
      </c>
      <c r="H11">
        <v>0</v>
      </c>
    </row>
    <row r="12" spans="1:8" x14ac:dyDescent="0.2">
      <c r="B12">
        <v>5</v>
      </c>
      <c r="C12">
        <v>4</v>
      </c>
      <c r="D12">
        <v>0</v>
      </c>
      <c r="E12">
        <v>0</v>
      </c>
      <c r="F12">
        <v>-1</v>
      </c>
      <c r="G12">
        <v>0</v>
      </c>
      <c r="H12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Sheet1</vt:lpstr>
      <vt:lpstr>Ark1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Teodoridis</dc:creator>
  <cp:lastModifiedBy>Asger Konradi Lauridsen</cp:lastModifiedBy>
  <dcterms:created xsi:type="dcterms:W3CDTF">2006-09-16T00:00:00Z</dcterms:created>
  <dcterms:modified xsi:type="dcterms:W3CDTF">2025-01-17T10:09:30Z</dcterms:modified>
</cp:coreProperties>
</file>