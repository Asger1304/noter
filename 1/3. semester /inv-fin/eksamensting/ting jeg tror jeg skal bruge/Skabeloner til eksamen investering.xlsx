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geraircool/Downloads/"/>
    </mc:Choice>
  </mc:AlternateContent>
  <xr:revisionPtr revIDLastSave="0" documentId="13_ncr:1_{40AC2F75-B863-8F44-951E-C1EB6A93F87C}" xr6:coauthVersionLast="47" xr6:coauthVersionMax="47" xr10:uidLastSave="{00000000-0000-0000-0000-000000000000}"/>
  <bookViews>
    <workbookView xWindow="0" yWindow="740" windowWidth="29400" windowHeight="18380" firstSheet="4" activeTab="11" xr2:uid="{3DDB6E5E-864C-AA41-9E6A-9D3958213D9B}"/>
  </bookViews>
  <sheets>
    <sheet name="Pricing American put options" sheetId="1" r:id="rId1"/>
    <sheet name="Short rate lattice" sheetId="2" r:id="rId2"/>
    <sheet name="State prices from short rate la" sheetId="3" r:id="rId3"/>
    <sheet name="Cash flow lattice" sheetId="4" r:id="rId4"/>
    <sheet name="Binomial tree stock price T=2" sheetId="5" r:id="rId5"/>
    <sheet name="Binomial tree stock price T=3" sheetId="6" r:id="rId6"/>
    <sheet name="Binomial tree arbitrary T=2" sheetId="7" r:id="rId7"/>
    <sheet name="Binomial tree arbitrary T=3" sheetId="8" r:id="rId8"/>
    <sheet name="Binomial tree arbitrary T=4" sheetId="9" r:id="rId9"/>
    <sheet name="Interest rate tree" sheetId="10" r:id="rId10"/>
    <sheet name="APT" sheetId="12" r:id="rId11"/>
    <sheet name="Bonds market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5" i="11" l="1"/>
  <c r="AD33" i="11"/>
  <c r="AD34" i="11" s="1"/>
  <c r="D47" i="11"/>
  <c r="F55" i="11"/>
  <c r="O51" i="11"/>
  <c r="U42" i="11"/>
  <c r="AA38" i="11"/>
  <c r="Z38" i="11"/>
  <c r="Y38" i="11"/>
  <c r="X38" i="11"/>
  <c r="W38" i="11"/>
  <c r="V38" i="11"/>
  <c r="U38" i="11"/>
  <c r="T38" i="11"/>
  <c r="S38" i="11"/>
  <c r="R38" i="11"/>
  <c r="AA37" i="11"/>
  <c r="Z37" i="11"/>
  <c r="Y37" i="11"/>
  <c r="X37" i="11"/>
  <c r="W37" i="11"/>
  <c r="V37" i="11"/>
  <c r="U37" i="11"/>
  <c r="T37" i="11"/>
  <c r="S37" i="11"/>
  <c r="R37" i="11"/>
  <c r="L56" i="11"/>
  <c r="K56" i="11"/>
  <c r="J56" i="11"/>
  <c r="I56" i="11"/>
  <c r="H56" i="11"/>
  <c r="G56" i="11"/>
  <c r="F56" i="11"/>
  <c r="E56" i="11"/>
  <c r="D56" i="11"/>
  <c r="C56" i="11"/>
  <c r="O53" i="11" s="1"/>
  <c r="L55" i="11"/>
  <c r="K55" i="11"/>
  <c r="J55" i="11"/>
  <c r="I55" i="11"/>
  <c r="H55" i="11"/>
  <c r="G55" i="11"/>
  <c r="E55" i="11"/>
  <c r="D55" i="11"/>
  <c r="C55" i="11"/>
  <c r="L47" i="11"/>
  <c r="K47" i="11"/>
  <c r="J47" i="11"/>
  <c r="I47" i="11"/>
  <c r="H47" i="11"/>
  <c r="G47" i="11"/>
  <c r="F47" i="11"/>
  <c r="E47" i="11"/>
  <c r="C47" i="11"/>
  <c r="O44" i="11" s="1"/>
  <c r="L46" i="11"/>
  <c r="K46" i="11"/>
  <c r="J46" i="11"/>
  <c r="I46" i="11"/>
  <c r="H46" i="11"/>
  <c r="G46" i="11"/>
  <c r="F46" i="11"/>
  <c r="E46" i="11"/>
  <c r="D46" i="11"/>
  <c r="C46" i="11"/>
  <c r="O42" i="11" s="1"/>
  <c r="O43" i="11" s="1"/>
  <c r="D29" i="10"/>
  <c r="D28" i="10"/>
  <c r="D27" i="10"/>
  <c r="AK85" i="6"/>
  <c r="AJ84" i="6"/>
  <c r="AJ88" i="6"/>
  <c r="AJ86" i="6"/>
  <c r="AI87" i="6" s="1"/>
  <c r="AJ82" i="6"/>
  <c r="AJ77" i="6"/>
  <c r="AJ75" i="6"/>
  <c r="AJ73" i="6"/>
  <c r="AJ71" i="6"/>
  <c r="AK83" i="6"/>
  <c r="AK82" i="6"/>
  <c r="AK84" i="6"/>
  <c r="AK86" i="6"/>
  <c r="AK87" i="6"/>
  <c r="AK88" i="6"/>
  <c r="AK81" i="6"/>
  <c r="AK71" i="6"/>
  <c r="AK72" i="6"/>
  <c r="AK73" i="6"/>
  <c r="AK74" i="6"/>
  <c r="AK75" i="6"/>
  <c r="AK76" i="6"/>
  <c r="AK77" i="6"/>
  <c r="AK70" i="6"/>
  <c r="AA88" i="6"/>
  <c r="AA86" i="6"/>
  <c r="AA84" i="6"/>
  <c r="AA82" i="6"/>
  <c r="AB82" i="6"/>
  <c r="AB83" i="6"/>
  <c r="AB84" i="6"/>
  <c r="AB85" i="6"/>
  <c r="AB86" i="6"/>
  <c r="AB87" i="6"/>
  <c r="AB88" i="6"/>
  <c r="AB81" i="6"/>
  <c r="AA77" i="6"/>
  <c r="AA75" i="6"/>
  <c r="AA73" i="6"/>
  <c r="AA71" i="6"/>
  <c r="AB71" i="6"/>
  <c r="AB72" i="6"/>
  <c r="AB73" i="6"/>
  <c r="AB74" i="6"/>
  <c r="AB75" i="6"/>
  <c r="AB76" i="6"/>
  <c r="AB77" i="6"/>
  <c r="AB70" i="6"/>
  <c r="AE69" i="6"/>
  <c r="V69" i="6"/>
  <c r="AE80" i="6"/>
  <c r="V80" i="6"/>
  <c r="W54" i="5"/>
  <c r="AG67" i="5"/>
  <c r="AG65" i="5"/>
  <c r="AF66" i="5" s="1"/>
  <c r="AG63" i="5"/>
  <c r="AG61" i="5"/>
  <c r="AF62" i="5" s="1"/>
  <c r="AF52" i="5"/>
  <c r="AG57" i="5"/>
  <c r="AF56" i="5" s="1"/>
  <c r="AG55" i="5"/>
  <c r="AG53" i="5"/>
  <c r="AG51" i="5"/>
  <c r="W9" i="5"/>
  <c r="X9" i="5"/>
  <c r="X8" i="5"/>
  <c r="Y8" i="5"/>
  <c r="Y9" i="5"/>
  <c r="Y7" i="5"/>
  <c r="AB8" i="6"/>
  <c r="AB9" i="6"/>
  <c r="AB10" i="6"/>
  <c r="AB7" i="6"/>
  <c r="W9" i="7"/>
  <c r="X9" i="7"/>
  <c r="X8" i="7"/>
  <c r="Y8" i="7"/>
  <c r="Y9" i="7"/>
  <c r="Y7" i="7"/>
  <c r="AC18" i="8"/>
  <c r="R7" i="8"/>
  <c r="R17" i="8"/>
  <c r="AC16" i="8"/>
  <c r="AA9" i="8"/>
  <c r="AA10" i="8"/>
  <c r="AB9" i="8"/>
  <c r="AB10" i="8"/>
  <c r="AB8" i="8"/>
  <c r="AC10" i="8"/>
  <c r="AC8" i="8"/>
  <c r="AC9" i="8"/>
  <c r="AC7" i="8"/>
  <c r="R25" i="8"/>
  <c r="AB24" i="8"/>
  <c r="AC23" i="8"/>
  <c r="AB17" i="8"/>
  <c r="X24" i="7"/>
  <c r="Y23" i="7"/>
  <c r="X18" i="7"/>
  <c r="Y17" i="7"/>
  <c r="AB23" i="6"/>
  <c r="AB17" i="6"/>
  <c r="AB16" i="6"/>
  <c r="W25" i="5"/>
  <c r="X24" i="5"/>
  <c r="Y23" i="5"/>
  <c r="W18" i="5"/>
  <c r="X18" i="5"/>
  <c r="X17" i="5"/>
  <c r="Y17" i="5"/>
  <c r="Y16" i="5"/>
  <c r="P7" i="5"/>
  <c r="Y51" i="5"/>
  <c r="Y67" i="5"/>
  <c r="Y65" i="5"/>
  <c r="Y63" i="5"/>
  <c r="Y61" i="5"/>
  <c r="Y57" i="5"/>
  <c r="Y55" i="5"/>
  <c r="Y53" i="5"/>
  <c r="AB50" i="5"/>
  <c r="T50" i="5"/>
  <c r="AB61" i="5"/>
  <c r="T61" i="5"/>
  <c r="AB60" i="5"/>
  <c r="T60" i="5"/>
  <c r="O8" i="5"/>
  <c r="K8" i="5"/>
  <c r="E26" i="5"/>
  <c r="H27" i="5"/>
  <c r="H26" i="5"/>
  <c r="P16" i="5"/>
  <c r="D37" i="11"/>
  <c r="E37" i="11"/>
  <c r="F37" i="11"/>
  <c r="G37" i="11"/>
  <c r="H37" i="11"/>
  <c r="I37" i="11"/>
  <c r="J37" i="11"/>
  <c r="K37" i="11"/>
  <c r="L37" i="11"/>
  <c r="C37" i="11"/>
  <c r="M7" i="11"/>
  <c r="K7" i="11"/>
  <c r="L7" i="11" s="1"/>
  <c r="D36" i="11"/>
  <c r="E36" i="11"/>
  <c r="F36" i="11"/>
  <c r="G36" i="11"/>
  <c r="H36" i="11"/>
  <c r="I36" i="11"/>
  <c r="J36" i="11"/>
  <c r="K36" i="11"/>
  <c r="L36" i="11"/>
  <c r="C36" i="11"/>
  <c r="H17" i="12" a="1"/>
  <c r="H17" i="12" s="1"/>
  <c r="I30" i="12" s="1"/>
  <c r="I31" i="12" s="1"/>
  <c r="I32" i="12" s="1"/>
  <c r="M8" i="11"/>
  <c r="M9" i="11"/>
  <c r="C13" i="11"/>
  <c r="C14" i="11"/>
  <c r="C12" i="11"/>
  <c r="I26" i="12"/>
  <c r="E30" i="12"/>
  <c r="F30" i="12"/>
  <c r="E31" i="12"/>
  <c r="F31" i="12"/>
  <c r="F29" i="12"/>
  <c r="E29" i="12"/>
  <c r="D30" i="12"/>
  <c r="D31" i="12"/>
  <c r="D29" i="12"/>
  <c r="E25" i="12"/>
  <c r="E24" i="12"/>
  <c r="E23" i="12"/>
  <c r="D24" i="12"/>
  <c r="D25" i="12"/>
  <c r="D23" i="12"/>
  <c r="M23" i="12"/>
  <c r="M22" i="12"/>
  <c r="M21" i="12"/>
  <c r="M20" i="12"/>
  <c r="M19" i="12"/>
  <c r="M18" i="12"/>
  <c r="K21" i="12"/>
  <c r="K20" i="12"/>
  <c r="K23" i="12"/>
  <c r="K22" i="12"/>
  <c r="K19" i="12"/>
  <c r="K18" i="12"/>
  <c r="D17" i="12"/>
  <c r="L14" i="12"/>
  <c r="E19" i="12"/>
  <c r="D18" i="12"/>
  <c r="C17" i="12"/>
  <c r="L12" i="12" s="1"/>
  <c r="E18" i="12"/>
  <c r="D19" i="12"/>
  <c r="C19" i="12"/>
  <c r="E17" i="12"/>
  <c r="L13" i="12" s="1"/>
  <c r="C18" i="12"/>
  <c r="M7" i="12"/>
  <c r="M8" i="12"/>
  <c r="M6" i="12"/>
  <c r="E13" i="12"/>
  <c r="E14" i="12"/>
  <c r="E12" i="12"/>
  <c r="D13" i="12"/>
  <c r="D14" i="12"/>
  <c r="D12" i="12"/>
  <c r="G12" i="12" s="1" a="1"/>
  <c r="G12" i="12" s="1"/>
  <c r="N50" i="2"/>
  <c r="L34" i="2"/>
  <c r="O48" i="2"/>
  <c r="N32" i="2"/>
  <c r="O31" i="2"/>
  <c r="J32" i="4"/>
  <c r="J33" i="4"/>
  <c r="J34" i="4"/>
  <c r="J35" i="4"/>
  <c r="J36" i="4"/>
  <c r="J37" i="4"/>
  <c r="J38" i="4"/>
  <c r="F37" i="2"/>
  <c r="F35" i="10"/>
  <c r="E45" i="10"/>
  <c r="E44" i="10"/>
  <c r="D45" i="10" s="1"/>
  <c r="F37" i="10"/>
  <c r="F36" i="10"/>
  <c r="O32" i="11" l="1"/>
  <c r="U43" i="11" s="1"/>
  <c r="V79" i="6"/>
  <c r="AE79" i="6"/>
  <c r="AE54" i="5"/>
  <c r="AE64" i="5"/>
  <c r="AB62" i="5" s="1"/>
  <c r="Z10" i="8"/>
  <c r="X62" i="5"/>
  <c r="X52" i="5"/>
  <c r="X56" i="5"/>
  <c r="X66" i="5"/>
  <c r="W64" i="5" s="1"/>
  <c r="T62" i="5" s="1"/>
  <c r="O34" i="11"/>
  <c r="U44" i="11" s="1"/>
  <c r="C24" i="11" a="1"/>
  <c r="C24" i="11" s="1"/>
  <c r="K9" i="11"/>
  <c r="L9" i="11" s="1"/>
  <c r="K8" i="11"/>
  <c r="L8" i="11" s="1"/>
  <c r="I33" i="4"/>
  <c r="I38" i="4"/>
  <c r="I34" i="4"/>
  <c r="H34" i="4" s="1"/>
  <c r="I37" i="4"/>
  <c r="H38" i="4" s="1"/>
  <c r="I36" i="4"/>
  <c r="I35" i="4"/>
  <c r="E37" i="10"/>
  <c r="E36" i="10"/>
  <c r="D37" i="10" s="1"/>
  <c r="O33" i="11" l="1"/>
  <c r="O52" i="11"/>
  <c r="T52" i="5"/>
  <c r="AB52" i="5"/>
  <c r="H36" i="4"/>
  <c r="H37" i="4"/>
  <c r="G38" i="4" s="1"/>
  <c r="H35" i="4"/>
  <c r="G37" i="4" l="1"/>
  <c r="F38" i="4" s="1"/>
  <c r="G35" i="4"/>
  <c r="G36" i="4"/>
  <c r="F37" i="4" l="1"/>
  <c r="E38" i="4" s="1"/>
  <c r="F36" i="4"/>
  <c r="E37" i="4" l="1"/>
  <c r="D38" i="4" s="1"/>
  <c r="I14" i="1" l="1"/>
  <c r="J17" i="2"/>
  <c r="J16" i="2"/>
  <c r="J15" i="2"/>
  <c r="J19" i="2"/>
  <c r="J18" i="2"/>
  <c r="J36" i="2"/>
  <c r="D19" i="10"/>
  <c r="D18" i="10"/>
  <c r="D17" i="10"/>
  <c r="D22" i="10" s="1"/>
  <c r="AO8" i="9"/>
  <c r="AO9" i="9"/>
  <c r="AO10" i="9"/>
  <c r="AO11" i="9"/>
  <c r="AO7" i="9"/>
  <c r="AJ10" i="8"/>
  <c r="AJ9" i="8"/>
  <c r="AJ8" i="8"/>
  <c r="AJ7" i="8"/>
  <c r="AJ8" i="6"/>
  <c r="AJ9" i="6"/>
  <c r="AJ10" i="6"/>
  <c r="AJ7" i="6"/>
  <c r="AE9" i="7"/>
  <c r="AE15" i="5"/>
  <c r="AD9" i="5"/>
  <c r="AF9" i="5"/>
  <c r="AF8" i="5"/>
  <c r="AF7" i="5"/>
  <c r="AE8" i="5" s="1"/>
  <c r="AF31" i="7"/>
  <c r="AF29" i="7"/>
  <c r="AF27" i="7"/>
  <c r="AF25" i="7"/>
  <c r="AE30" i="7"/>
  <c r="AE26" i="7"/>
  <c r="AF20" i="7"/>
  <c r="AF18" i="7"/>
  <c r="AF16" i="7"/>
  <c r="AF14" i="7"/>
  <c r="AE19" i="7"/>
  <c r="AE15" i="7"/>
  <c r="AD9" i="7"/>
  <c r="AE8" i="7"/>
  <c r="AF9" i="7"/>
  <c r="AF8" i="7"/>
  <c r="AF7" i="7"/>
  <c r="Y16" i="7"/>
  <c r="AB24" i="6"/>
  <c r="Y24" i="5"/>
  <c r="AB25" i="6"/>
  <c r="E8" i="8"/>
  <c r="E7" i="8"/>
  <c r="E8" i="7"/>
  <c r="E7" i="7"/>
  <c r="R12" i="10"/>
  <c r="R13" i="10"/>
  <c r="R16" i="10" s="1"/>
  <c r="R11" i="10"/>
  <c r="R14" i="10" s="1"/>
  <c r="D24" i="10"/>
  <c r="I20" i="10" s="1"/>
  <c r="U13" i="10" l="1"/>
  <c r="D23" i="10"/>
  <c r="I19" i="10" s="1"/>
  <c r="I18" i="10"/>
  <c r="R15" i="10"/>
  <c r="E9" i="8"/>
  <c r="E10" i="8" s="1"/>
  <c r="AF14" i="5"/>
  <c r="AF25" i="5" s="1"/>
  <c r="AE9" i="5"/>
  <c r="AE26" i="5" s="1"/>
  <c r="AF16" i="5"/>
  <c r="AF27" i="5" s="1"/>
  <c r="E9" i="7"/>
  <c r="E10" i="7" s="1"/>
  <c r="R105" i="9"/>
  <c r="R104" i="9"/>
  <c r="R100" i="9"/>
  <c r="R99" i="9"/>
  <c r="R95" i="9"/>
  <c r="R91" i="9"/>
  <c r="P85" i="8"/>
  <c r="P84" i="8"/>
  <c r="P80" i="8"/>
  <c r="P79" i="8"/>
  <c r="P75" i="8"/>
  <c r="P71" i="8"/>
  <c r="N66" i="7"/>
  <c r="N65" i="7"/>
  <c r="N61" i="7"/>
  <c r="N60" i="7"/>
  <c r="N56" i="7"/>
  <c r="N52" i="7"/>
  <c r="J64" i="5"/>
  <c r="J63" i="5"/>
  <c r="J59" i="5"/>
  <c r="J58" i="5"/>
  <c r="J54" i="5"/>
  <c r="J50" i="5"/>
  <c r="K73" i="6"/>
  <c r="K83" i="6"/>
  <c r="K82" i="6"/>
  <c r="K78" i="6"/>
  <c r="K77" i="6"/>
  <c r="K69" i="6"/>
  <c r="I81" i="9"/>
  <c r="I76" i="9"/>
  <c r="I71" i="9"/>
  <c r="I66" i="9"/>
  <c r="E46" i="9"/>
  <c r="E81" i="9"/>
  <c r="E76" i="9"/>
  <c r="E71" i="9"/>
  <c r="E66" i="9"/>
  <c r="V61" i="9"/>
  <c r="R61" i="9"/>
  <c r="I61" i="9"/>
  <c r="E61" i="9"/>
  <c r="V56" i="9"/>
  <c r="R56" i="9"/>
  <c r="I56" i="9"/>
  <c r="E56" i="9"/>
  <c r="V51" i="9"/>
  <c r="R51" i="9"/>
  <c r="I51" i="9"/>
  <c r="E51" i="9"/>
  <c r="V46" i="9"/>
  <c r="R46" i="9"/>
  <c r="I46" i="9"/>
  <c r="V41" i="9"/>
  <c r="R41" i="9"/>
  <c r="I41" i="9"/>
  <c r="E41" i="9"/>
  <c r="V36" i="9"/>
  <c r="R36" i="9"/>
  <c r="I36" i="9"/>
  <c r="E36" i="9"/>
  <c r="AF29" i="9"/>
  <c r="U29" i="9"/>
  <c r="AF28" i="9"/>
  <c r="U28" i="9"/>
  <c r="AF27" i="9"/>
  <c r="U27" i="9"/>
  <c r="K27" i="9"/>
  <c r="AF26" i="9"/>
  <c r="U26" i="9"/>
  <c r="K26" i="9"/>
  <c r="I26" i="9"/>
  <c r="AF25" i="9"/>
  <c r="U25" i="9"/>
  <c r="K25" i="9"/>
  <c r="I25" i="9"/>
  <c r="G25" i="9"/>
  <c r="K24" i="9"/>
  <c r="I24" i="9"/>
  <c r="G24" i="9"/>
  <c r="E24" i="9"/>
  <c r="K23" i="9"/>
  <c r="I23" i="9"/>
  <c r="G23" i="9"/>
  <c r="E23" i="9"/>
  <c r="K22" i="9"/>
  <c r="I22" i="9"/>
  <c r="G22" i="9"/>
  <c r="AF21" i="9"/>
  <c r="U21" i="9"/>
  <c r="K21" i="9"/>
  <c r="I21" i="9"/>
  <c r="AF20" i="9"/>
  <c r="U20" i="9"/>
  <c r="K20" i="9"/>
  <c r="AF19" i="9"/>
  <c r="U19" i="9"/>
  <c r="AF18" i="9"/>
  <c r="U18" i="9"/>
  <c r="AF17" i="9"/>
  <c r="Y17" i="9"/>
  <c r="U17" i="9"/>
  <c r="N17" i="9"/>
  <c r="Y16" i="9"/>
  <c r="N16" i="9"/>
  <c r="AF11" i="9"/>
  <c r="U11" i="9"/>
  <c r="AF10" i="9"/>
  <c r="U10" i="9"/>
  <c r="E82" i="9" s="1"/>
  <c r="E84" i="9" s="1"/>
  <c r="AF9" i="9"/>
  <c r="U9" i="9"/>
  <c r="AF8" i="9"/>
  <c r="U8" i="9"/>
  <c r="E72" i="9" s="1"/>
  <c r="E8" i="9"/>
  <c r="AF7" i="9"/>
  <c r="U7" i="9"/>
  <c r="E7" i="9"/>
  <c r="R17" i="10" l="1"/>
  <c r="R20" i="10" s="1"/>
  <c r="O9" i="10"/>
  <c r="O12" i="10" s="1"/>
  <c r="I67" i="9"/>
  <c r="I69" i="9" s="1"/>
  <c r="E83" i="9"/>
  <c r="I68" i="9"/>
  <c r="I82" i="9"/>
  <c r="E77" i="9"/>
  <c r="E78" i="9" s="1"/>
  <c r="I74" i="9"/>
  <c r="I77" i="9"/>
  <c r="I78" i="9" s="1"/>
  <c r="I72" i="9"/>
  <c r="I73" i="9" s="1"/>
  <c r="H100" i="9"/>
  <c r="G102" i="9"/>
  <c r="AI9" i="8"/>
  <c r="AI10" i="8"/>
  <c r="AJ22" i="8" s="1"/>
  <c r="AJ34" i="8" s="1"/>
  <c r="AJ21" i="8"/>
  <c r="AJ33" i="8" s="1"/>
  <c r="AI8" i="8"/>
  <c r="AH9" i="8" s="1"/>
  <c r="AJ20" i="8"/>
  <c r="AJ32" i="8" s="1"/>
  <c r="AJ19" i="8"/>
  <c r="AJ31" i="8" s="1"/>
  <c r="AJ18" i="8"/>
  <c r="AJ30" i="8" s="1"/>
  <c r="AH10" i="8"/>
  <c r="AJ17" i="8"/>
  <c r="AJ29" i="8" s="1"/>
  <c r="AF20" i="5"/>
  <c r="AF31" i="5" s="1"/>
  <c r="AE19" i="5"/>
  <c r="AE30" i="5" s="1"/>
  <c r="AF18" i="5"/>
  <c r="AF29" i="5" s="1"/>
  <c r="E9" i="9"/>
  <c r="G92" i="9"/>
  <c r="M92" i="9" s="1"/>
  <c r="F102" i="9"/>
  <c r="G94" i="9"/>
  <c r="H103" i="9"/>
  <c r="H102" i="9"/>
  <c r="F93" i="9"/>
  <c r="G93" i="9"/>
  <c r="G103" i="9"/>
  <c r="H94" i="9"/>
  <c r="H92" i="9"/>
  <c r="G101" i="9"/>
  <c r="H101" i="9"/>
  <c r="F94" i="9"/>
  <c r="F103" i="9"/>
  <c r="E103" i="9"/>
  <c r="H91" i="9"/>
  <c r="H93" i="9"/>
  <c r="E67" i="9"/>
  <c r="E69" i="9" s="1"/>
  <c r="E94" i="9"/>
  <c r="O14" i="10" l="1"/>
  <c r="O18" i="10" s="1"/>
  <c r="O13" i="10"/>
  <c r="O20" i="10"/>
  <c r="O23" i="10" s="1"/>
  <c r="O19" i="10"/>
  <c r="O22" i="10" s="1"/>
  <c r="I79" i="9"/>
  <c r="AE21" i="9"/>
  <c r="M93" i="9"/>
  <c r="E79" i="9"/>
  <c r="I83" i="9"/>
  <c r="I84" i="9"/>
  <c r="N92" i="9"/>
  <c r="AE9" i="9" s="1"/>
  <c r="N94" i="9"/>
  <c r="T21" i="9" s="1"/>
  <c r="L93" i="9"/>
  <c r="M94" i="9"/>
  <c r="E10" i="9"/>
  <c r="AN8" i="9" s="1"/>
  <c r="AJ15" i="8"/>
  <c r="AJ27" i="8" s="1"/>
  <c r="AJ16" i="8"/>
  <c r="AJ28" i="8" s="1"/>
  <c r="AG10" i="8"/>
  <c r="AH17" i="8" s="1"/>
  <c r="AH29" i="8" s="1"/>
  <c r="AI16" i="8"/>
  <c r="AI28" i="8" s="1"/>
  <c r="AH21" i="8"/>
  <c r="AH33" i="8" s="1"/>
  <c r="AI22" i="8"/>
  <c r="AI34" i="8" s="1"/>
  <c r="AI18" i="8"/>
  <c r="AI30" i="8" s="1"/>
  <c r="AI20" i="8"/>
  <c r="AI32" i="8" s="1"/>
  <c r="AE11" i="9"/>
  <c r="E68" i="9"/>
  <c r="N91" i="9"/>
  <c r="T8" i="9" s="1"/>
  <c r="L94" i="9"/>
  <c r="N93" i="9"/>
  <c r="T10" i="9" s="1"/>
  <c r="E74" i="9"/>
  <c r="E73" i="9"/>
  <c r="K94" i="9"/>
  <c r="U8" i="10" l="1"/>
  <c r="O21" i="10"/>
  <c r="O24" i="10" s="1"/>
  <c r="O27" i="10" s="1"/>
  <c r="AO18" i="9"/>
  <c r="AO34" i="9" s="1"/>
  <c r="AO16" i="9"/>
  <c r="AO32" i="9" s="1"/>
  <c r="AN9" i="9"/>
  <c r="AE29" i="9"/>
  <c r="T11" i="9"/>
  <c r="S11" i="9" s="1"/>
  <c r="AE27" i="9"/>
  <c r="AN10" i="9"/>
  <c r="AE20" i="9"/>
  <c r="V47" i="9" s="1"/>
  <c r="V49" i="9" s="1"/>
  <c r="AN11" i="9"/>
  <c r="T19" i="9"/>
  <c r="T29" i="9"/>
  <c r="T9" i="9"/>
  <c r="S9" i="9" s="1"/>
  <c r="AE19" i="9"/>
  <c r="AE18" i="9"/>
  <c r="AE28" i="9"/>
  <c r="AE26" i="9"/>
  <c r="T27" i="9"/>
  <c r="AE10" i="9"/>
  <c r="AD10" i="9" s="1"/>
  <c r="T28" i="9"/>
  <c r="S29" i="9" s="1"/>
  <c r="T20" i="9"/>
  <c r="I47" i="9" s="1"/>
  <c r="I49" i="9" s="1"/>
  <c r="T26" i="9"/>
  <c r="S27" i="9" s="1"/>
  <c r="E37" i="9"/>
  <c r="E38" i="9" s="1"/>
  <c r="AE8" i="9"/>
  <c r="T18" i="9"/>
  <c r="R47" i="9"/>
  <c r="R49" i="9" s="1"/>
  <c r="AO19" i="9" l="1"/>
  <c r="AO35" i="9" s="1"/>
  <c r="AO21" i="9"/>
  <c r="AO37" i="9" s="1"/>
  <c r="S10" i="9"/>
  <c r="E57" i="9" s="1"/>
  <c r="E58" i="9" s="1"/>
  <c r="I42" i="9"/>
  <c r="I43" i="9" s="1"/>
  <c r="AD27" i="9"/>
  <c r="E42" i="9"/>
  <c r="E43" i="9" s="1"/>
  <c r="AO27" i="9"/>
  <c r="AO43" i="9" s="1"/>
  <c r="AO25" i="9"/>
  <c r="AO41" i="9" s="1"/>
  <c r="E47" i="9"/>
  <c r="E49" i="9" s="1"/>
  <c r="AO24" i="9"/>
  <c r="AO40" i="9" s="1"/>
  <c r="AO22" i="9"/>
  <c r="AO38" i="9" s="1"/>
  <c r="AM9" i="9"/>
  <c r="AN17" i="9" s="1"/>
  <c r="AN33" i="9" s="1"/>
  <c r="AD20" i="9"/>
  <c r="V57" i="9" s="1"/>
  <c r="V58" i="9" s="1"/>
  <c r="V42" i="9"/>
  <c r="V43" i="9" s="1"/>
  <c r="AD21" i="9"/>
  <c r="S20" i="9"/>
  <c r="AM10" i="9"/>
  <c r="AM11" i="9"/>
  <c r="AN24" i="9" s="1"/>
  <c r="AN40" i="9" s="1"/>
  <c r="R42" i="9"/>
  <c r="R43" i="9" s="1"/>
  <c r="AD11" i="9"/>
  <c r="R57" i="9" s="1"/>
  <c r="R58" i="9" s="1"/>
  <c r="AD28" i="9"/>
  <c r="AD29" i="9"/>
  <c r="AC29" i="9" s="1"/>
  <c r="AD19" i="9"/>
  <c r="AC20" i="9" s="1"/>
  <c r="V37" i="9"/>
  <c r="V39" i="9" s="1"/>
  <c r="S28" i="9"/>
  <c r="R29" i="9" s="1"/>
  <c r="S21" i="9"/>
  <c r="R21" i="9" s="1"/>
  <c r="E39" i="9"/>
  <c r="R48" i="9"/>
  <c r="E44" i="9"/>
  <c r="I44" i="9"/>
  <c r="I37" i="9"/>
  <c r="I39" i="9" s="1"/>
  <c r="I38" i="9"/>
  <c r="S19" i="9"/>
  <c r="I57" i="9"/>
  <c r="I59" i="9" s="1"/>
  <c r="E52" i="9"/>
  <c r="E54" i="9" s="1"/>
  <c r="R10" i="9"/>
  <c r="V48" i="9"/>
  <c r="AD9" i="9"/>
  <c r="R37" i="9"/>
  <c r="R39" i="9" s="1"/>
  <c r="E48" i="9"/>
  <c r="I48" i="9"/>
  <c r="AC28" i="9" l="1"/>
  <c r="R59" i="9"/>
  <c r="R11" i="9"/>
  <c r="AN19" i="9"/>
  <c r="AN35" i="9" s="1"/>
  <c r="AC11" i="9"/>
  <c r="V44" i="9"/>
  <c r="R44" i="9"/>
  <c r="V38" i="9"/>
  <c r="V52" i="9"/>
  <c r="V53" i="9" s="1"/>
  <c r="AC21" i="9"/>
  <c r="AB21" i="9" s="1"/>
  <c r="Y18" i="9" s="1"/>
  <c r="AL10" i="9"/>
  <c r="AN20" i="9"/>
  <c r="AN36" i="9" s="1"/>
  <c r="AN23" i="9"/>
  <c r="AN39" i="9" s="1"/>
  <c r="AL11" i="9"/>
  <c r="AM25" i="9" s="1"/>
  <c r="AM41" i="9" s="1"/>
  <c r="AB29" i="9"/>
  <c r="Y26" i="9" s="1"/>
  <c r="AM22" i="9"/>
  <c r="AM38" i="9" s="1"/>
  <c r="AN26" i="9"/>
  <c r="AN42" i="9" s="1"/>
  <c r="R28" i="9"/>
  <c r="Q29" i="9" s="1"/>
  <c r="N26" i="9" s="1"/>
  <c r="E53" i="9"/>
  <c r="V54" i="9"/>
  <c r="E62" i="9"/>
  <c r="E63" i="9"/>
  <c r="Q11" i="9"/>
  <c r="N8" i="9" s="1"/>
  <c r="E59" i="9"/>
  <c r="I52" i="9"/>
  <c r="I54" i="9" s="1"/>
  <c r="R20" i="9"/>
  <c r="I62" i="9" s="1"/>
  <c r="R52" i="9"/>
  <c r="R54" i="9" s="1"/>
  <c r="AC10" i="9"/>
  <c r="R38" i="9"/>
  <c r="V59" i="9"/>
  <c r="E64" i="9"/>
  <c r="I58" i="9"/>
  <c r="V62" i="9"/>
  <c r="V64" i="9" s="1"/>
  <c r="AK11" i="9" l="1"/>
  <c r="AL23" i="9" s="1"/>
  <c r="AL39" i="9" s="1"/>
  <c r="AM18" i="9"/>
  <c r="AM34" i="9" s="1"/>
  <c r="AL20" i="9"/>
  <c r="AL36" i="9" s="1"/>
  <c r="AM21" i="9"/>
  <c r="AM37" i="9" s="1"/>
  <c r="E30" i="9"/>
  <c r="R101" i="9"/>
  <c r="R92" i="9"/>
  <c r="I53" i="9"/>
  <c r="R106" i="9"/>
  <c r="R62" i="9"/>
  <c r="R64" i="9" s="1"/>
  <c r="AB11" i="9"/>
  <c r="Y8" i="9" s="1"/>
  <c r="I64" i="9"/>
  <c r="Q21" i="9"/>
  <c r="N18" i="9" s="1"/>
  <c r="R53" i="9"/>
  <c r="V63" i="9"/>
  <c r="E31" i="9" l="1"/>
  <c r="R96" i="9"/>
  <c r="G30" i="9"/>
  <c r="I63" i="9"/>
  <c r="R63" i="9"/>
  <c r="G31" i="9" l="1"/>
  <c r="H30" i="9" s="1"/>
  <c r="H31" i="9"/>
  <c r="M33" i="1"/>
  <c r="Z61" i="8"/>
  <c r="V61" i="8"/>
  <c r="R61" i="8"/>
  <c r="M61" i="8"/>
  <c r="I61" i="8"/>
  <c r="E61" i="8"/>
  <c r="Z56" i="8"/>
  <c r="V56" i="8"/>
  <c r="R56" i="8"/>
  <c r="M56" i="8"/>
  <c r="I56" i="8"/>
  <c r="E56" i="8"/>
  <c r="Z51" i="8"/>
  <c r="V51" i="8"/>
  <c r="R51" i="8"/>
  <c r="M51" i="8"/>
  <c r="I51" i="8"/>
  <c r="E51" i="8"/>
  <c r="Z46" i="8"/>
  <c r="V46" i="8"/>
  <c r="R46" i="8"/>
  <c r="M46" i="8"/>
  <c r="I46" i="8"/>
  <c r="E46" i="8"/>
  <c r="Z41" i="8"/>
  <c r="V41" i="8"/>
  <c r="R41" i="8"/>
  <c r="M41" i="8"/>
  <c r="I41" i="8"/>
  <c r="E41" i="8"/>
  <c r="Z36" i="8"/>
  <c r="V36" i="8"/>
  <c r="R36" i="8"/>
  <c r="M36" i="8"/>
  <c r="I36" i="8"/>
  <c r="E36" i="8"/>
  <c r="R27" i="8"/>
  <c r="AC26" i="8"/>
  <c r="R26" i="8"/>
  <c r="AC25" i="8"/>
  <c r="I25" i="8"/>
  <c r="G81" i="8" s="1"/>
  <c r="AC24" i="8"/>
  <c r="R24" i="8"/>
  <c r="I24" i="8"/>
  <c r="G24" i="8"/>
  <c r="I23" i="8"/>
  <c r="G23" i="8"/>
  <c r="E23" i="8"/>
  <c r="I22" i="8"/>
  <c r="G22" i="8"/>
  <c r="F80" i="8" s="1"/>
  <c r="E22" i="8"/>
  <c r="I21" i="8"/>
  <c r="G21" i="8"/>
  <c r="R20" i="8"/>
  <c r="I20" i="8"/>
  <c r="AC19" i="8"/>
  <c r="R19" i="8"/>
  <c r="R18" i="8"/>
  <c r="AC17" i="8"/>
  <c r="L17" i="8"/>
  <c r="W16" i="8"/>
  <c r="L16" i="8"/>
  <c r="W15" i="8"/>
  <c r="R10" i="8"/>
  <c r="R9" i="8"/>
  <c r="R8" i="8"/>
  <c r="R37" i="8"/>
  <c r="P17" i="7"/>
  <c r="G20" i="7"/>
  <c r="F59" i="7" s="1"/>
  <c r="G19" i="7"/>
  <c r="E20" i="7"/>
  <c r="E21" i="7"/>
  <c r="E60" i="7" s="1"/>
  <c r="P23" i="7"/>
  <c r="P16" i="7"/>
  <c r="P9" i="7"/>
  <c r="P8" i="7"/>
  <c r="P7" i="7"/>
  <c r="Z41" i="7"/>
  <c r="V41" i="7"/>
  <c r="R41" i="7"/>
  <c r="M41" i="7"/>
  <c r="I41" i="7"/>
  <c r="E41" i="7"/>
  <c r="Z36" i="7"/>
  <c r="V36" i="7"/>
  <c r="R36" i="7"/>
  <c r="M36" i="7"/>
  <c r="I36" i="7"/>
  <c r="E36" i="7"/>
  <c r="Z31" i="7"/>
  <c r="V31" i="7"/>
  <c r="R31" i="7"/>
  <c r="M31" i="7"/>
  <c r="I31" i="7"/>
  <c r="E31" i="7"/>
  <c r="Y25" i="7"/>
  <c r="P25" i="7"/>
  <c r="Y24" i="7"/>
  <c r="P24" i="7"/>
  <c r="G22" i="7"/>
  <c r="F60" i="7" s="1"/>
  <c r="G21" i="7"/>
  <c r="Y18" i="7"/>
  <c r="P18" i="7"/>
  <c r="T16" i="7"/>
  <c r="K16" i="7"/>
  <c r="T15" i="7"/>
  <c r="K15" i="7"/>
  <c r="Z61" i="6"/>
  <c r="Z56" i="6"/>
  <c r="Z51" i="6"/>
  <c r="Z46" i="6"/>
  <c r="Z41" i="6"/>
  <c r="Z36" i="6"/>
  <c r="V61" i="6"/>
  <c r="V56" i="6"/>
  <c r="V51" i="6"/>
  <c r="V46" i="6"/>
  <c r="V41" i="6"/>
  <c r="V36" i="6"/>
  <c r="R61" i="6"/>
  <c r="R56" i="6"/>
  <c r="R51" i="6"/>
  <c r="R46" i="6"/>
  <c r="R41" i="6"/>
  <c r="R36" i="6"/>
  <c r="M61" i="6"/>
  <c r="M56" i="6"/>
  <c r="M51" i="6"/>
  <c r="M46" i="6"/>
  <c r="M41" i="6"/>
  <c r="M36" i="6"/>
  <c r="I51" i="6"/>
  <c r="I61" i="6"/>
  <c r="I56" i="6"/>
  <c r="I46" i="6"/>
  <c r="I41" i="6"/>
  <c r="I36" i="6"/>
  <c r="E61" i="6"/>
  <c r="E56" i="6"/>
  <c r="E51" i="6"/>
  <c r="E46" i="6"/>
  <c r="E41" i="6"/>
  <c r="E36" i="6"/>
  <c r="AB26" i="6"/>
  <c r="AB19" i="6"/>
  <c r="AB18" i="6"/>
  <c r="V16" i="6"/>
  <c r="V15" i="6"/>
  <c r="Z41" i="5"/>
  <c r="V41" i="5"/>
  <c r="Z36" i="5"/>
  <c r="V36" i="5"/>
  <c r="Z31" i="5"/>
  <c r="V31" i="5"/>
  <c r="R41" i="5"/>
  <c r="R36" i="5"/>
  <c r="R31" i="5"/>
  <c r="Y25" i="5"/>
  <c r="N48" i="1"/>
  <c r="M48" i="1"/>
  <c r="N47" i="1" s="1"/>
  <c r="N49" i="1"/>
  <c r="M49" i="1"/>
  <c r="L49" i="1"/>
  <c r="N32" i="1"/>
  <c r="O31" i="1" s="1"/>
  <c r="P30" i="1" s="1"/>
  <c r="N33" i="1"/>
  <c r="P13" i="1"/>
  <c r="Q12" i="1" s="1"/>
  <c r="R11" i="1" s="1"/>
  <c r="O14" i="1"/>
  <c r="O15" i="1"/>
  <c r="P14" i="1" s="1"/>
  <c r="Q13" i="1" s="1"/>
  <c r="R12" i="1" s="1"/>
  <c r="N15" i="1"/>
  <c r="Y18" i="5"/>
  <c r="K9" i="5"/>
  <c r="T11" i="5"/>
  <c r="T10" i="5"/>
  <c r="T9" i="5"/>
  <c r="T16" i="5"/>
  <c r="T15" i="5"/>
  <c r="K16" i="5"/>
  <c r="K15" i="5"/>
  <c r="M41" i="5"/>
  <c r="M36" i="5"/>
  <c r="M31" i="5"/>
  <c r="I41" i="5"/>
  <c r="I36" i="5"/>
  <c r="I31" i="5"/>
  <c r="E41" i="5"/>
  <c r="P9" i="5"/>
  <c r="P8" i="5"/>
  <c r="E36" i="5"/>
  <c r="E31" i="5"/>
  <c r="L17" i="6"/>
  <c r="L16" i="6"/>
  <c r="R25" i="6"/>
  <c r="R26" i="6"/>
  <c r="R27" i="6"/>
  <c r="R24" i="6"/>
  <c r="P24" i="5"/>
  <c r="R18" i="6"/>
  <c r="R19" i="6"/>
  <c r="R20" i="6"/>
  <c r="R17" i="6"/>
  <c r="R9" i="6"/>
  <c r="R8" i="6"/>
  <c r="R10" i="6"/>
  <c r="R7" i="6"/>
  <c r="E8" i="6"/>
  <c r="E7" i="6"/>
  <c r="I25" i="6"/>
  <c r="I24" i="6"/>
  <c r="I23" i="6"/>
  <c r="I22" i="6"/>
  <c r="I21" i="6"/>
  <c r="I20" i="6"/>
  <c r="G24" i="6"/>
  <c r="G23" i="6"/>
  <c r="G22" i="6"/>
  <c r="G21" i="6"/>
  <c r="E23" i="6"/>
  <c r="E22" i="6"/>
  <c r="P25" i="5"/>
  <c r="P23" i="5"/>
  <c r="M32" i="5" s="1"/>
  <c r="P18" i="5"/>
  <c r="P17" i="5"/>
  <c r="G22" i="5"/>
  <c r="G21" i="5"/>
  <c r="G20" i="5"/>
  <c r="G19" i="5"/>
  <c r="E21" i="5"/>
  <c r="E20" i="5"/>
  <c r="K10" i="5"/>
  <c r="K11" i="5"/>
  <c r="E8" i="5"/>
  <c r="E7" i="5"/>
  <c r="D13" i="4"/>
  <c r="E12" i="4" s="1"/>
  <c r="D40" i="3"/>
  <c r="D42" i="3" s="1"/>
  <c r="E37" i="5" l="1"/>
  <c r="E39" i="5" s="1"/>
  <c r="I42" i="8"/>
  <c r="E81" i="8"/>
  <c r="E47" i="8"/>
  <c r="E49" i="8" s="1"/>
  <c r="G80" i="8"/>
  <c r="R42" i="8"/>
  <c r="R44" i="8" s="1"/>
  <c r="I37" i="8"/>
  <c r="I39" i="8" s="1"/>
  <c r="Z37" i="8"/>
  <c r="Z38" i="8" s="1"/>
  <c r="E37" i="8"/>
  <c r="V42" i="8"/>
  <c r="V44" i="8" s="1"/>
  <c r="G79" i="8"/>
  <c r="F81" i="8"/>
  <c r="E37" i="7"/>
  <c r="E39" i="7" s="1"/>
  <c r="I37" i="7"/>
  <c r="I39" i="7" s="1"/>
  <c r="E53" i="7"/>
  <c r="V42" i="6"/>
  <c r="V44" i="6" s="1"/>
  <c r="F72" i="6"/>
  <c r="V47" i="6"/>
  <c r="V48" i="6" s="1"/>
  <c r="G71" i="6"/>
  <c r="I37" i="6"/>
  <c r="I39" i="6" s="1"/>
  <c r="E37" i="6"/>
  <c r="E39" i="6" s="1"/>
  <c r="M37" i="6"/>
  <c r="M38" i="6" s="1"/>
  <c r="G70" i="6"/>
  <c r="Z42" i="6"/>
  <c r="Z44" i="6" s="1"/>
  <c r="G72" i="6"/>
  <c r="I42" i="6"/>
  <c r="I44" i="6" s="1"/>
  <c r="F71" i="6"/>
  <c r="Z47" i="6"/>
  <c r="Z49" i="6" s="1"/>
  <c r="E72" i="6"/>
  <c r="E9" i="5"/>
  <c r="E10" i="5" s="1"/>
  <c r="V37" i="5"/>
  <c r="V38" i="5" s="1"/>
  <c r="M37" i="5"/>
  <c r="M38" i="5" s="1"/>
  <c r="Z37" i="5"/>
  <c r="Z38" i="5" s="1"/>
  <c r="V32" i="5"/>
  <c r="V34" i="5" s="1"/>
  <c r="Z32" i="5"/>
  <c r="Z33" i="5" s="1"/>
  <c r="I32" i="5"/>
  <c r="I33" i="5" s="1"/>
  <c r="F51" i="5"/>
  <c r="E51" i="5"/>
  <c r="F50" i="5"/>
  <c r="O33" i="1"/>
  <c r="O32" i="1"/>
  <c r="P31" i="1" s="1"/>
  <c r="M34" i="5"/>
  <c r="F12" i="4"/>
  <c r="F11" i="4"/>
  <c r="E13" i="4"/>
  <c r="F13" i="4" s="1"/>
  <c r="G13" i="4" s="1"/>
  <c r="R32" i="5"/>
  <c r="R34" i="5" s="1"/>
  <c r="E73" i="8"/>
  <c r="E32" i="5"/>
  <c r="E33" i="5" s="1"/>
  <c r="I37" i="5"/>
  <c r="I39" i="5" s="1"/>
  <c r="E42" i="6"/>
  <c r="E44" i="6" s="1"/>
  <c r="F72" i="8"/>
  <c r="M33" i="5"/>
  <c r="R47" i="6"/>
  <c r="R49" i="6" s="1"/>
  <c r="Z37" i="6"/>
  <c r="Z38" i="6" s="1"/>
  <c r="I47" i="8"/>
  <c r="I49" i="8" s="1"/>
  <c r="F73" i="8"/>
  <c r="P15" i="1"/>
  <c r="R42" i="6"/>
  <c r="R43" i="6" s="1"/>
  <c r="R37" i="5"/>
  <c r="R39" i="5" s="1"/>
  <c r="E47" i="6"/>
  <c r="E49" i="6" s="1"/>
  <c r="I47" i="6"/>
  <c r="I48" i="6" s="1"/>
  <c r="M47" i="6"/>
  <c r="M49" i="6" s="1"/>
  <c r="V37" i="6"/>
  <c r="V39" i="6" s="1"/>
  <c r="E42" i="8"/>
  <c r="E44" i="8" s="1"/>
  <c r="G72" i="8"/>
  <c r="M42" i="6"/>
  <c r="M43" i="6" s="1"/>
  <c r="R37" i="6"/>
  <c r="R39" i="6" s="1"/>
  <c r="V37" i="8"/>
  <c r="V39" i="8" s="1"/>
  <c r="G71" i="8"/>
  <c r="L71" i="8" s="1"/>
  <c r="G73" i="8"/>
  <c r="M37" i="7"/>
  <c r="M38" i="7" s="1"/>
  <c r="M32" i="7"/>
  <c r="M33" i="7" s="1"/>
  <c r="I32" i="7"/>
  <c r="I33" i="7" s="1"/>
  <c r="Z32" i="7"/>
  <c r="Z33" i="7" s="1"/>
  <c r="E32" i="7"/>
  <c r="E33" i="7" s="1"/>
  <c r="F52" i="7"/>
  <c r="F53" i="7"/>
  <c r="E38" i="7"/>
  <c r="R38" i="8"/>
  <c r="R32" i="7"/>
  <c r="R33" i="7" s="1"/>
  <c r="E38" i="8"/>
  <c r="E39" i="8"/>
  <c r="M37" i="8"/>
  <c r="M39" i="8" s="1"/>
  <c r="M42" i="8"/>
  <c r="M44" i="8" s="1"/>
  <c r="V43" i="8"/>
  <c r="M47" i="8"/>
  <c r="M49" i="8" s="1"/>
  <c r="R47" i="8"/>
  <c r="R49" i="8" s="1"/>
  <c r="V47" i="8"/>
  <c r="V48" i="8" s="1"/>
  <c r="Z42" i="8"/>
  <c r="Z43" i="8" s="1"/>
  <c r="I44" i="8"/>
  <c r="Z47" i="8"/>
  <c r="Z48" i="8" s="1"/>
  <c r="E43" i="8"/>
  <c r="E48" i="8"/>
  <c r="R39" i="8"/>
  <c r="I43" i="8"/>
  <c r="V37" i="7"/>
  <c r="I34" i="7"/>
  <c r="Z37" i="7"/>
  <c r="Z38" i="7" s="1"/>
  <c r="R37" i="7"/>
  <c r="R39" i="7" s="1"/>
  <c r="V32" i="7"/>
  <c r="V33" i="7" s="1"/>
  <c r="I38" i="7"/>
  <c r="E9" i="6"/>
  <c r="E38" i="5"/>
  <c r="E21" i="3"/>
  <c r="D21" i="3"/>
  <c r="P48" i="2"/>
  <c r="P49" i="2"/>
  <c r="P50" i="2"/>
  <c r="P51" i="2"/>
  <c r="P52" i="2"/>
  <c r="P53" i="2"/>
  <c r="P54" i="2"/>
  <c r="P55" i="2"/>
  <c r="P56" i="2"/>
  <c r="P57" i="2"/>
  <c r="P47" i="2"/>
  <c r="P28" i="2"/>
  <c r="P29" i="2"/>
  <c r="P30" i="2"/>
  <c r="P31" i="2"/>
  <c r="P32" i="2"/>
  <c r="P33" i="2"/>
  <c r="P34" i="2"/>
  <c r="P35" i="2"/>
  <c r="P36" i="2"/>
  <c r="P37" i="2"/>
  <c r="P27" i="2"/>
  <c r="F19" i="2"/>
  <c r="G19" i="2" s="1"/>
  <c r="G18" i="2"/>
  <c r="I38" i="8" l="1"/>
  <c r="M38" i="8"/>
  <c r="G12" i="4"/>
  <c r="H12" i="4" s="1"/>
  <c r="I12" i="4" s="1"/>
  <c r="J12" i="4"/>
  <c r="J24" i="4" s="1"/>
  <c r="J73" i="8"/>
  <c r="M43" i="8"/>
  <c r="I48" i="8"/>
  <c r="V38" i="8"/>
  <c r="Z39" i="8"/>
  <c r="K72" i="8"/>
  <c r="AB19" i="8"/>
  <c r="AB26" i="8"/>
  <c r="AA26" i="8" s="1"/>
  <c r="R43" i="8"/>
  <c r="Q8" i="8"/>
  <c r="AB18" i="8"/>
  <c r="AB25" i="8"/>
  <c r="E10" i="6"/>
  <c r="Q27" i="6" s="1"/>
  <c r="AA19" i="6"/>
  <c r="AA17" i="6"/>
  <c r="V43" i="6"/>
  <c r="V49" i="6"/>
  <c r="X25" i="5"/>
  <c r="R33" i="5"/>
  <c r="V39" i="5"/>
  <c r="J52" i="7"/>
  <c r="X17" i="7"/>
  <c r="I53" i="7"/>
  <c r="V33" i="5"/>
  <c r="I38" i="6"/>
  <c r="E38" i="6"/>
  <c r="Z48" i="6"/>
  <c r="M39" i="6"/>
  <c r="Z43" i="6"/>
  <c r="I43" i="6"/>
  <c r="I49" i="6"/>
  <c r="E48" i="6"/>
  <c r="M48" i="6"/>
  <c r="M39" i="5"/>
  <c r="E34" i="5"/>
  <c r="Z39" i="5"/>
  <c r="I34" i="5"/>
  <c r="R38" i="5"/>
  <c r="Z34" i="5"/>
  <c r="O18" i="5"/>
  <c r="O24" i="5"/>
  <c r="I38" i="5"/>
  <c r="R38" i="6"/>
  <c r="V38" i="6"/>
  <c r="H18" i="2"/>
  <c r="F21" i="3"/>
  <c r="L72" i="8"/>
  <c r="Q19" i="8"/>
  <c r="I52" i="8" s="1"/>
  <c r="I54" i="8" s="1"/>
  <c r="R48" i="6"/>
  <c r="R48" i="8"/>
  <c r="Q25" i="8"/>
  <c r="L73" i="8"/>
  <c r="Q20" i="8" s="1"/>
  <c r="M44" i="6"/>
  <c r="R44" i="6"/>
  <c r="H17" i="2"/>
  <c r="D43" i="3"/>
  <c r="E40" i="3"/>
  <c r="F40" i="3" s="1"/>
  <c r="E39" i="3"/>
  <c r="G10" i="4"/>
  <c r="H9" i="4" s="1"/>
  <c r="G11" i="4"/>
  <c r="M39" i="7"/>
  <c r="E20" i="3"/>
  <c r="M34" i="7"/>
  <c r="Z49" i="8"/>
  <c r="Q18" i="8"/>
  <c r="Q14" i="1"/>
  <c r="R13" i="1" s="1"/>
  <c r="Q15" i="1"/>
  <c r="H13" i="4"/>
  <c r="E43" i="6"/>
  <c r="P33" i="1"/>
  <c r="P32" i="1"/>
  <c r="Z34" i="7"/>
  <c r="Z39" i="6"/>
  <c r="K73" i="8"/>
  <c r="O17" i="5"/>
  <c r="Z39" i="7"/>
  <c r="O17" i="7"/>
  <c r="E34" i="7"/>
  <c r="J53" i="7"/>
  <c r="X25" i="7" s="1"/>
  <c r="R34" i="7"/>
  <c r="O24" i="7"/>
  <c r="O8" i="7"/>
  <c r="M48" i="8"/>
  <c r="V49" i="8"/>
  <c r="Z44" i="8"/>
  <c r="V39" i="7"/>
  <c r="V38" i="7"/>
  <c r="R38" i="7"/>
  <c r="V34" i="7"/>
  <c r="Q19" i="6"/>
  <c r="O9" i="5"/>
  <c r="E42" i="5" s="1"/>
  <c r="E43" i="5" s="1"/>
  <c r="O25" i="5"/>
  <c r="I18" i="2"/>
  <c r="H19" i="2"/>
  <c r="I19" i="2" s="1"/>
  <c r="AA26" i="6" l="1"/>
  <c r="AA24" i="6"/>
  <c r="AA10" i="6"/>
  <c r="Q9" i="6"/>
  <c r="E57" i="6" s="1"/>
  <c r="E59" i="6" s="1"/>
  <c r="AI83" i="6"/>
  <c r="Q26" i="6"/>
  <c r="P27" i="6" s="1"/>
  <c r="Z76" i="6"/>
  <c r="Z87" i="6"/>
  <c r="Z83" i="6"/>
  <c r="AI72" i="6"/>
  <c r="Q18" i="6"/>
  <c r="I52" i="6" s="1"/>
  <c r="I54" i="6" s="1"/>
  <c r="AA9" i="6"/>
  <c r="Z10" i="6" s="1"/>
  <c r="AA8" i="6"/>
  <c r="Z9" i="6" s="1"/>
  <c r="Y10" i="6" s="1"/>
  <c r="AI76" i="6"/>
  <c r="Q8" i="6"/>
  <c r="P9" i="6" s="1"/>
  <c r="AA18" i="6"/>
  <c r="V52" i="6" s="1"/>
  <c r="V54" i="6" s="1"/>
  <c r="Z72" i="6"/>
  <c r="AA25" i="8"/>
  <c r="W25" i="7"/>
  <c r="I9" i="4"/>
  <c r="I8" i="4"/>
  <c r="Z26" i="8"/>
  <c r="AA19" i="8"/>
  <c r="Q26" i="8"/>
  <c r="M52" i="8" s="1"/>
  <c r="M54" i="8" s="1"/>
  <c r="AA18" i="8"/>
  <c r="Z19" i="8" s="1"/>
  <c r="P19" i="8"/>
  <c r="I62" i="8" s="1"/>
  <c r="I64" i="8" s="1"/>
  <c r="Q10" i="8"/>
  <c r="Q27" i="8"/>
  <c r="Q9" i="8"/>
  <c r="AI8" i="6"/>
  <c r="AH9" i="6" s="1"/>
  <c r="Q20" i="6"/>
  <c r="AI10" i="6"/>
  <c r="AA25" i="6"/>
  <c r="Z26" i="6" s="1"/>
  <c r="Z19" i="6"/>
  <c r="Q25" i="6"/>
  <c r="Q10" i="6"/>
  <c r="P10" i="6" s="1"/>
  <c r="AI9" i="6"/>
  <c r="Z18" i="6"/>
  <c r="T8" i="5"/>
  <c r="W18" i="7"/>
  <c r="T17" i="7" s="1"/>
  <c r="N18" i="5"/>
  <c r="K17" i="5" s="1"/>
  <c r="M42" i="5"/>
  <c r="M43" i="5" s="1"/>
  <c r="R52" i="8"/>
  <c r="R54" i="8" s="1"/>
  <c r="R57" i="8"/>
  <c r="R58" i="8" s="1"/>
  <c r="I57" i="8"/>
  <c r="I58" i="8" s="1"/>
  <c r="H10" i="4"/>
  <c r="N25" i="5"/>
  <c r="K24" i="5" s="1"/>
  <c r="J65" i="5" s="1"/>
  <c r="F39" i="3"/>
  <c r="F38" i="3"/>
  <c r="F42" i="3" s="1"/>
  <c r="F43" i="3" s="1"/>
  <c r="F19" i="3"/>
  <c r="F20" i="3"/>
  <c r="P20" i="8"/>
  <c r="I13" i="4"/>
  <c r="E42" i="3"/>
  <c r="E43" i="3" s="1"/>
  <c r="I42" i="5"/>
  <c r="I44" i="5" s="1"/>
  <c r="R15" i="1"/>
  <c r="R14" i="1"/>
  <c r="R42" i="5"/>
  <c r="R43" i="5" s="1"/>
  <c r="V42" i="5"/>
  <c r="V44" i="5" s="1"/>
  <c r="T17" i="5"/>
  <c r="Z42" i="5"/>
  <c r="Z44" i="5" s="1"/>
  <c r="T24" i="5"/>
  <c r="G40" i="3"/>
  <c r="G21" i="3"/>
  <c r="N9" i="5"/>
  <c r="E44" i="5"/>
  <c r="O25" i="7"/>
  <c r="M42" i="7" s="1"/>
  <c r="M43" i="7" s="1"/>
  <c r="H11" i="4"/>
  <c r="O18" i="7"/>
  <c r="N18" i="7" s="1"/>
  <c r="K17" i="7" s="1"/>
  <c r="O9" i="7"/>
  <c r="N9" i="7" s="1"/>
  <c r="K8" i="7" s="1"/>
  <c r="T24" i="7"/>
  <c r="T8" i="7"/>
  <c r="I53" i="8"/>
  <c r="E52" i="8"/>
  <c r="E54" i="8" s="1"/>
  <c r="V52" i="8"/>
  <c r="V54" i="8" s="1"/>
  <c r="V42" i="7"/>
  <c r="V43" i="7" s="1"/>
  <c r="E52" i="6"/>
  <c r="E54" i="6" s="1"/>
  <c r="I57" i="6"/>
  <c r="I58" i="6" s="1"/>
  <c r="P19" i="6"/>
  <c r="P20" i="6"/>
  <c r="I17" i="2"/>
  <c r="I16" i="2"/>
  <c r="M52" i="6" l="1"/>
  <c r="M54" i="6" s="1"/>
  <c r="AH85" i="6"/>
  <c r="AE81" i="6" s="1"/>
  <c r="M57" i="6"/>
  <c r="M59" i="6" s="1"/>
  <c r="V57" i="6"/>
  <c r="V58" i="6" s="1"/>
  <c r="Y74" i="6"/>
  <c r="V71" i="6" s="1"/>
  <c r="Y85" i="6"/>
  <c r="V81" i="6" s="1"/>
  <c r="R57" i="6"/>
  <c r="R59" i="6" s="1"/>
  <c r="AH74" i="6"/>
  <c r="AE71" i="6" s="1"/>
  <c r="E58" i="6"/>
  <c r="M57" i="8"/>
  <c r="M58" i="8" s="1"/>
  <c r="P26" i="8"/>
  <c r="R62" i="8"/>
  <c r="R63" i="8" s="1"/>
  <c r="R52" i="6"/>
  <c r="R53" i="6" s="1"/>
  <c r="J60" i="5"/>
  <c r="I11" i="4"/>
  <c r="J11" i="4"/>
  <c r="J13" i="4"/>
  <c r="J25" i="4" s="1"/>
  <c r="I25" i="4" s="1"/>
  <c r="J7" i="4"/>
  <c r="J19" i="4" s="1"/>
  <c r="I20" i="4" s="1"/>
  <c r="J8" i="4"/>
  <c r="J20" i="4" s="1"/>
  <c r="I21" i="4" s="1"/>
  <c r="J9" i="4"/>
  <c r="J21" i="4" s="1"/>
  <c r="O20" i="8"/>
  <c r="L18" i="8" s="1"/>
  <c r="P10" i="8"/>
  <c r="P9" i="8"/>
  <c r="O10" i="8" s="1"/>
  <c r="L8" i="8" s="1"/>
  <c r="E57" i="8"/>
  <c r="E53" i="8"/>
  <c r="M59" i="8"/>
  <c r="P27" i="8"/>
  <c r="O27" i="8" s="1"/>
  <c r="L25" i="8" s="1"/>
  <c r="R53" i="8"/>
  <c r="E31" i="8"/>
  <c r="I59" i="8"/>
  <c r="AJ21" i="6"/>
  <c r="AJ33" i="6" s="1"/>
  <c r="AJ22" i="6"/>
  <c r="AJ34" i="6" s="1"/>
  <c r="AH10" i="6"/>
  <c r="AI20" i="6" s="1"/>
  <c r="AI32" i="6" s="1"/>
  <c r="AI18" i="6"/>
  <c r="AI30" i="6" s="1"/>
  <c r="AJ20" i="6"/>
  <c r="AJ32" i="6" s="1"/>
  <c r="AJ19" i="6"/>
  <c r="AJ31" i="6" s="1"/>
  <c r="AJ18" i="6"/>
  <c r="AJ30" i="6" s="1"/>
  <c r="AJ17" i="6"/>
  <c r="AJ29" i="6" s="1"/>
  <c r="AI16" i="6"/>
  <c r="AI28" i="6" s="1"/>
  <c r="AJ16" i="6"/>
  <c r="AJ28" i="6" s="1"/>
  <c r="AJ15" i="6"/>
  <c r="AJ27" i="6" s="1"/>
  <c r="Y19" i="6"/>
  <c r="V17" i="6" s="1"/>
  <c r="P26" i="6"/>
  <c r="Z52" i="6"/>
  <c r="Z54" i="6" s="1"/>
  <c r="Z25" i="6"/>
  <c r="Y26" i="6" s="1"/>
  <c r="V24" i="6" s="1"/>
  <c r="Z57" i="6"/>
  <c r="Z58" i="6" s="1"/>
  <c r="V8" i="6"/>
  <c r="E27" i="5"/>
  <c r="J55" i="5"/>
  <c r="J51" i="5"/>
  <c r="M44" i="5"/>
  <c r="G26" i="5"/>
  <c r="I42" i="7"/>
  <c r="I43" i="7" s="1"/>
  <c r="N25" i="7"/>
  <c r="K24" i="7" s="1"/>
  <c r="N67" i="7" s="1"/>
  <c r="E42" i="7"/>
  <c r="E44" i="7" s="1"/>
  <c r="E27" i="7"/>
  <c r="N57" i="7"/>
  <c r="E26" i="7"/>
  <c r="N53" i="7"/>
  <c r="N62" i="7"/>
  <c r="V53" i="8"/>
  <c r="V53" i="6"/>
  <c r="I53" i="6"/>
  <c r="Z43" i="5"/>
  <c r="R44" i="5"/>
  <c r="I43" i="5"/>
  <c r="G18" i="3"/>
  <c r="G38" i="3"/>
  <c r="G37" i="3"/>
  <c r="G19" i="3"/>
  <c r="H19" i="3" s="1"/>
  <c r="M58" i="6"/>
  <c r="M53" i="6"/>
  <c r="E53" i="6"/>
  <c r="I63" i="8"/>
  <c r="K19" i="2"/>
  <c r="V43" i="5"/>
  <c r="H21" i="3"/>
  <c r="I21" i="3" s="1"/>
  <c r="J21" i="3" s="1"/>
  <c r="K21" i="3" s="1"/>
  <c r="L21" i="3" s="1"/>
  <c r="M21" i="3" s="1"/>
  <c r="H40" i="3"/>
  <c r="I40" i="3" s="1"/>
  <c r="J40" i="3" s="1"/>
  <c r="K40" i="3" s="1"/>
  <c r="L40" i="3" s="1"/>
  <c r="M40" i="3" s="1"/>
  <c r="N40" i="3" s="1"/>
  <c r="K18" i="2"/>
  <c r="Z57" i="8"/>
  <c r="Z52" i="8"/>
  <c r="Z53" i="8" s="1"/>
  <c r="W8" i="8"/>
  <c r="I10" i="4"/>
  <c r="V59" i="6"/>
  <c r="V57" i="8"/>
  <c r="V59" i="8" s="1"/>
  <c r="R59" i="8"/>
  <c r="G20" i="3"/>
  <c r="G39" i="3"/>
  <c r="Z42" i="7"/>
  <c r="Z43" i="7" s="1"/>
  <c r="R42" i="7"/>
  <c r="R43" i="7" s="1"/>
  <c r="I44" i="7"/>
  <c r="M53" i="8"/>
  <c r="M44" i="7"/>
  <c r="V44" i="7"/>
  <c r="I59" i="6"/>
  <c r="R62" i="6"/>
  <c r="R63" i="6" s="1"/>
  <c r="O10" i="6"/>
  <c r="L8" i="6" s="1"/>
  <c r="E62" i="6"/>
  <c r="E63" i="6" s="1"/>
  <c r="O27" i="6"/>
  <c r="L25" i="6" s="1"/>
  <c r="K84" i="6" s="1"/>
  <c r="M62" i="6"/>
  <c r="M64" i="6" s="1"/>
  <c r="I62" i="6"/>
  <c r="I64" i="6" s="1"/>
  <c r="V62" i="6"/>
  <c r="V63" i="6" s="1"/>
  <c r="O20" i="6"/>
  <c r="L18" i="6" s="1"/>
  <c r="R58" i="6" l="1"/>
  <c r="R54" i="6"/>
  <c r="R64" i="8"/>
  <c r="H21" i="4"/>
  <c r="J23" i="4"/>
  <c r="I24" i="4" s="1"/>
  <c r="H25" i="4" s="1"/>
  <c r="J10" i="4"/>
  <c r="J22" i="4" s="1"/>
  <c r="I22" i="4" s="1"/>
  <c r="P86" i="8"/>
  <c r="E30" i="8"/>
  <c r="P72" i="8"/>
  <c r="P81" i="8"/>
  <c r="M62" i="8"/>
  <c r="M64" i="8" s="1"/>
  <c r="E58" i="8"/>
  <c r="E59" i="8"/>
  <c r="E62" i="8"/>
  <c r="P76" i="8"/>
  <c r="G31" i="8"/>
  <c r="Z59" i="6"/>
  <c r="AI22" i="6"/>
  <c r="AI34" i="6" s="1"/>
  <c r="AG10" i="6"/>
  <c r="AH17" i="6" s="1"/>
  <c r="AH29" i="6" s="1"/>
  <c r="Z53" i="6"/>
  <c r="Z62" i="6"/>
  <c r="Z63" i="6" s="1"/>
  <c r="E31" i="6"/>
  <c r="K74" i="6"/>
  <c r="G27" i="5"/>
  <c r="J26" i="5"/>
  <c r="E43" i="7"/>
  <c r="R44" i="7"/>
  <c r="G26" i="7"/>
  <c r="H27" i="7" s="1"/>
  <c r="G27" i="7"/>
  <c r="H26" i="7" s="1"/>
  <c r="Z54" i="8"/>
  <c r="V58" i="8"/>
  <c r="V62" i="8"/>
  <c r="V64" i="8" s="1"/>
  <c r="K70" i="6"/>
  <c r="K79" i="6"/>
  <c r="E30" i="6"/>
  <c r="M63" i="6"/>
  <c r="Z64" i="6"/>
  <c r="E64" i="6"/>
  <c r="Z58" i="8"/>
  <c r="Z59" i="8"/>
  <c r="I19" i="3"/>
  <c r="I38" i="3"/>
  <c r="I63" i="6"/>
  <c r="K16" i="2"/>
  <c r="H20" i="3"/>
  <c r="I20" i="3" s="1"/>
  <c r="J20" i="3" s="1"/>
  <c r="H39" i="3"/>
  <c r="I39" i="3" s="1"/>
  <c r="J39" i="3" s="1"/>
  <c r="K39" i="3" s="1"/>
  <c r="H38" i="3"/>
  <c r="H36" i="3"/>
  <c r="G42" i="3"/>
  <c r="G43" i="3" s="1"/>
  <c r="W17" i="8"/>
  <c r="L19" i="2"/>
  <c r="K17" i="2"/>
  <c r="H17" i="3"/>
  <c r="H37" i="3"/>
  <c r="H18" i="3"/>
  <c r="W24" i="8"/>
  <c r="Z62" i="8"/>
  <c r="Z63" i="8" s="1"/>
  <c r="Z44" i="7"/>
  <c r="M18" i="2"/>
  <c r="L18" i="2"/>
  <c r="R64" i="6"/>
  <c r="V64" i="6"/>
  <c r="K15" i="2"/>
  <c r="K14" i="2"/>
  <c r="H22" i="4" l="1"/>
  <c r="G22" i="4"/>
  <c r="I23" i="4"/>
  <c r="H24" i="4" s="1"/>
  <c r="G25" i="4" s="1"/>
  <c r="M63" i="8"/>
  <c r="E64" i="8"/>
  <c r="E63" i="8"/>
  <c r="G30" i="8"/>
  <c r="H31" i="8" s="1"/>
  <c r="H30" i="8"/>
  <c r="AH21" i="6"/>
  <c r="AH33" i="6" s="1"/>
  <c r="G30" i="6"/>
  <c r="G31" i="6"/>
  <c r="H30" i="6" s="1"/>
  <c r="H31" i="6"/>
  <c r="J27" i="5"/>
  <c r="Z64" i="8"/>
  <c r="V63" i="8"/>
  <c r="J19" i="3"/>
  <c r="K19" i="3" s="1"/>
  <c r="L19" i="3" s="1"/>
  <c r="M19" i="3" s="1"/>
  <c r="J38" i="3"/>
  <c r="K38" i="3" s="1"/>
  <c r="I18" i="3"/>
  <c r="I37" i="3"/>
  <c r="M19" i="2"/>
  <c r="K20" i="3"/>
  <c r="L20" i="3" s="1"/>
  <c r="M20" i="3" s="1"/>
  <c r="L17" i="2"/>
  <c r="I35" i="3"/>
  <c r="H42" i="3"/>
  <c r="H43" i="3" s="1"/>
  <c r="N18" i="2"/>
  <c r="L39" i="3"/>
  <c r="L15" i="2"/>
  <c r="I16" i="3"/>
  <c r="I17" i="3"/>
  <c r="I36" i="3"/>
  <c r="L16" i="2"/>
  <c r="L14" i="2"/>
  <c r="L13" i="2"/>
  <c r="H23" i="4" l="1"/>
  <c r="G24" i="4" s="1"/>
  <c r="F25" i="4" s="1"/>
  <c r="M15" i="2"/>
  <c r="N19" i="2"/>
  <c r="M14" i="2"/>
  <c r="J17" i="3"/>
  <c r="J36" i="3"/>
  <c r="J34" i="3"/>
  <c r="I42" i="3"/>
  <c r="I43" i="3" s="1"/>
  <c r="M16" i="2"/>
  <c r="M39" i="3"/>
  <c r="N39" i="3" s="1"/>
  <c r="M17" i="2"/>
  <c r="J18" i="3"/>
  <c r="K18" i="3" s="1"/>
  <c r="L18" i="3" s="1"/>
  <c r="M18" i="3" s="1"/>
  <c r="J37" i="3"/>
  <c r="K37" i="3" s="1"/>
  <c r="L37" i="3" s="1"/>
  <c r="M37" i="3" s="1"/>
  <c r="N37" i="3" s="1"/>
  <c r="L38" i="3"/>
  <c r="M38" i="3" s="1"/>
  <c r="J15" i="3"/>
  <c r="J16" i="3"/>
  <c r="J35" i="3"/>
  <c r="O18" i="2"/>
  <c r="M12" i="2"/>
  <c r="M13" i="2"/>
  <c r="G23" i="4" l="1"/>
  <c r="N13" i="2"/>
  <c r="O19" i="2"/>
  <c r="O56" i="2"/>
  <c r="O36" i="2"/>
  <c r="N14" i="2"/>
  <c r="N17" i="2"/>
  <c r="K33" i="3"/>
  <c r="J42" i="3"/>
  <c r="J43" i="3" s="1"/>
  <c r="N38" i="3"/>
  <c r="N16" i="2"/>
  <c r="K16" i="3"/>
  <c r="K35" i="3"/>
  <c r="K14" i="3"/>
  <c r="K15" i="3"/>
  <c r="K34" i="3"/>
  <c r="K17" i="3"/>
  <c r="L17" i="3" s="1"/>
  <c r="M17" i="3" s="1"/>
  <c r="K36" i="3"/>
  <c r="N15" i="2"/>
  <c r="N11" i="2"/>
  <c r="N12" i="2"/>
  <c r="F24" i="4" l="1"/>
  <c r="E25" i="4" s="1"/>
  <c r="F23" i="4"/>
  <c r="E24" i="4" s="1"/>
  <c r="D25" i="4" s="1"/>
  <c r="O15" i="2"/>
  <c r="O17" i="2"/>
  <c r="L16" i="3"/>
  <c r="M16" i="3" s="1"/>
  <c r="L35" i="3"/>
  <c r="L36" i="3"/>
  <c r="M36" i="3" s="1"/>
  <c r="N36" i="3" s="1"/>
  <c r="O12" i="2"/>
  <c r="L15" i="3"/>
  <c r="L34" i="3"/>
  <c r="O16" i="2"/>
  <c r="O57" i="2"/>
  <c r="N57" i="2" s="1"/>
  <c r="O37" i="2"/>
  <c r="N37" i="2" s="1"/>
  <c r="L13" i="3"/>
  <c r="L14" i="3"/>
  <c r="L33" i="3"/>
  <c r="L32" i="3"/>
  <c r="K42" i="3"/>
  <c r="K43" i="3" s="1"/>
  <c r="O14" i="2"/>
  <c r="O13" i="2"/>
  <c r="O10" i="2"/>
  <c r="O11" i="2"/>
  <c r="M35" i="3" l="1"/>
  <c r="N35" i="3" s="1"/>
  <c r="L42" i="3"/>
  <c r="L43" i="3" s="1"/>
  <c r="M14" i="3"/>
  <c r="M33" i="3"/>
  <c r="O54" i="2"/>
  <c r="N55" i="2" s="1"/>
  <c r="M56" i="2" s="1"/>
  <c r="L57" i="2" s="1"/>
  <c r="O34" i="2"/>
  <c r="N35" i="2" s="1"/>
  <c r="M36" i="2" s="1"/>
  <c r="L37" i="2" s="1"/>
  <c r="O51" i="2"/>
  <c r="M12" i="3"/>
  <c r="M31" i="3"/>
  <c r="M13" i="3"/>
  <c r="M32" i="3"/>
  <c r="M15" i="3"/>
  <c r="M34" i="3"/>
  <c r="N34" i="3" s="1"/>
  <c r="O49" i="2"/>
  <c r="O29" i="2"/>
  <c r="O55" i="2"/>
  <c r="N56" i="2" s="1"/>
  <c r="M57" i="2" s="1"/>
  <c r="O35" i="2"/>
  <c r="N36" i="2" s="1"/>
  <c r="M37" i="2" s="1"/>
  <c r="N49" i="2"/>
  <c r="O28" i="2"/>
  <c r="N29" i="2" s="1"/>
  <c r="O32" i="2"/>
  <c r="N33" i="2" s="1"/>
  <c r="O52" i="2"/>
  <c r="N53" i="2" s="1"/>
  <c r="O50" i="2"/>
  <c r="N51" i="2" s="1"/>
  <c r="O30" i="2"/>
  <c r="O33" i="2"/>
  <c r="O53" i="2"/>
  <c r="I47" i="1"/>
  <c r="I48" i="1"/>
  <c r="I49" i="1"/>
  <c r="J30" i="1"/>
  <c r="J31" i="1"/>
  <c r="J32" i="1"/>
  <c r="J33" i="1"/>
  <c r="K15" i="1"/>
  <c r="K14" i="1"/>
  <c r="K13" i="1"/>
  <c r="J14" i="1" s="1"/>
  <c r="K12" i="1"/>
  <c r="K11" i="1"/>
  <c r="J13" i="1" l="1"/>
  <c r="M52" i="2"/>
  <c r="L53" i="2" s="1"/>
  <c r="M51" i="2"/>
  <c r="M33" i="2"/>
  <c r="M54" i="2"/>
  <c r="L55" i="2" s="1"/>
  <c r="K56" i="2" s="1"/>
  <c r="J57" i="2" s="1"/>
  <c r="N54" i="2"/>
  <c r="M55" i="2" s="1"/>
  <c r="L56" i="2" s="1"/>
  <c r="K57" i="2" s="1"/>
  <c r="M42" i="3"/>
  <c r="M43" i="3" s="1"/>
  <c r="N33" i="3"/>
  <c r="N31" i="3"/>
  <c r="N30" i="3"/>
  <c r="N32" i="3"/>
  <c r="N34" i="2"/>
  <c r="M35" i="2" s="1"/>
  <c r="L36" i="2" s="1"/>
  <c r="K37" i="2" s="1"/>
  <c r="J12" i="1"/>
  <c r="I13" i="1" s="1"/>
  <c r="N31" i="2"/>
  <c r="N30" i="2"/>
  <c r="M31" i="2" s="1"/>
  <c r="N52" i="2"/>
  <c r="M53" i="2" s="1"/>
  <c r="H48" i="1"/>
  <c r="H49" i="1"/>
  <c r="I31" i="1"/>
  <c r="I32" i="1"/>
  <c r="I33" i="1"/>
  <c r="J15" i="1"/>
  <c r="I15" i="1" s="1"/>
  <c r="M30" i="2" l="1"/>
  <c r="L31" i="2" s="1"/>
  <c r="N42" i="3"/>
  <c r="N43" i="3" s="1"/>
  <c r="G49" i="1"/>
  <c r="L52" i="2"/>
  <c r="K53" i="2" s="1"/>
  <c r="L32" i="2"/>
  <c r="K33" i="2" s="1"/>
  <c r="M50" i="2"/>
  <c r="L51" i="2" s="1"/>
  <c r="K35" i="2"/>
  <c r="I37" i="2" s="1"/>
  <c r="L54" i="2"/>
  <c r="K55" i="2" s="1"/>
  <c r="J56" i="2" s="1"/>
  <c r="I57" i="2" s="1"/>
  <c r="H15" i="1"/>
  <c r="M32" i="2"/>
  <c r="L33" i="2" s="1"/>
  <c r="M34" i="2"/>
  <c r="L35" i="2" s="1"/>
  <c r="K36" i="2" s="1"/>
  <c r="J37" i="2" s="1"/>
  <c r="H14" i="1"/>
  <c r="H32" i="1"/>
  <c r="H33" i="1"/>
  <c r="K52" i="2" l="1"/>
  <c r="J53" i="2" s="1"/>
  <c r="G33" i="1"/>
  <c r="J54" i="2"/>
  <c r="I55" i="2" s="1"/>
  <c r="K54" i="2"/>
  <c r="J55" i="2" s="1"/>
  <c r="I56" i="2" s="1"/>
  <c r="K34" i="2"/>
  <c r="J35" i="2" s="1"/>
  <c r="I36" i="2" s="1"/>
  <c r="H37" i="2" s="1"/>
  <c r="K32" i="2"/>
  <c r="J33" i="2" s="1"/>
  <c r="G15" i="1"/>
  <c r="H56" i="2" l="1"/>
  <c r="J34" i="2"/>
  <c r="I35" i="2" s="1"/>
  <c r="H36" i="2" s="1"/>
  <c r="G37" i="2" s="1"/>
  <c r="H57" i="2"/>
  <c r="I54" i="2"/>
  <c r="H55" i="2" s="1"/>
  <c r="G56" i="2" s="1"/>
  <c r="G57" i="2" l="1"/>
  <c r="F57" i="2" s="1"/>
  <c r="I34" i="2"/>
  <c r="H35" i="2" s="1"/>
  <c r="G3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<sst xmlns="http://schemas.openxmlformats.org/spreadsheetml/2006/main" count="1910" uniqueCount="366">
  <si>
    <t>info</t>
  </si>
  <si>
    <t>u=</t>
  </si>
  <si>
    <t>d=</t>
  </si>
  <si>
    <t>t=</t>
  </si>
  <si>
    <t>K= strike price</t>
  </si>
  <si>
    <t>u= up amount</t>
  </si>
  <si>
    <t>d= down amount</t>
  </si>
  <si>
    <t>S_0= price of underlying</t>
  </si>
  <si>
    <t>q= risk-neutral probability</t>
  </si>
  <si>
    <t>r= risk-free rate</t>
  </si>
  <si>
    <t>Pricing american put option 4 periods</t>
  </si>
  <si>
    <t>Pricing american put option 3 periods</t>
  </si>
  <si>
    <t>Pricing american put option 2 periods</t>
  </si>
  <si>
    <t>Short rate lattice</t>
  </si>
  <si>
    <t>kan nemt forkortes eller forlænges</t>
  </si>
  <si>
    <t>r_0=</t>
  </si>
  <si>
    <t>u= (up value)</t>
  </si>
  <si>
    <t>d= (down value)</t>
  </si>
  <si>
    <t>q=(sandsynlighed)</t>
  </si>
  <si>
    <t>(skal ikke bruges her)</t>
  </si>
  <si>
    <t>Find value of a bond with this short rate</t>
  </si>
  <si>
    <t>r_ti</t>
  </si>
  <si>
    <t>aflæses ovenover</t>
  </si>
  <si>
    <t>D_ti=dividends</t>
  </si>
  <si>
    <t>Face value=</t>
  </si>
  <si>
    <t>(der hvor der står 1/2 i formlen)</t>
  </si>
  <si>
    <t>fra 6%</t>
  </si>
  <si>
    <t>kan relativt nemt ændre længde, man skal bare rette det der bliver sidste kolonne til, alt andet kan trækkes</t>
  </si>
  <si>
    <t>Fair price for callable bond after year 5</t>
  </si>
  <si>
    <t xml:space="preserve">så hvis man gerne vil call den efter år 5 kan man, gør man hvis debt(prisen på givent tidspunkt?) er over face value+coupon) </t>
  </si>
  <si>
    <t>aflæses øverst</t>
  </si>
  <si>
    <t>formlen er fuldstændig ens fra år 0 til 4 som den ovenover, men så bliver den en minimumsfunktion</t>
  </si>
  <si>
    <t>kan flyttes på ved at flytte på hvornår minimumsfunktionen skal begynde, og så flytte på enden som ovenover</t>
  </si>
  <si>
    <t>(note: til tid 0 skal man huske at dividends ikke skal ligges til, da man ingen får der)</t>
  </si>
  <si>
    <t>State prices</t>
  </si>
  <si>
    <t>tid</t>
  </si>
  <si>
    <t>Bonds</t>
  </si>
  <si>
    <t>spot:</t>
  </si>
  <si>
    <t>tilhørende state prices til short rate lattice</t>
  </si>
  <si>
    <t>start</t>
  </si>
  <si>
    <t>kan let gøres længere eller kortere, husk hvis længere anderledes form for øverste og nederste</t>
  </si>
  <si>
    <t>Også med spot rate curve nederst!!!!</t>
  </si>
  <si>
    <t>Giver spot rate curve:</t>
  </si>
  <si>
    <t>Floating rate cash flow lattice</t>
  </si>
  <si>
    <t>A=</t>
  </si>
  <si>
    <t>ligesom på den anden side, bare kortere</t>
  </si>
  <si>
    <t>forstår ikke helt formlen hertil</t>
  </si>
  <si>
    <t>sidste række formel:</t>
  </si>
  <si>
    <t>andre rækker formel:</t>
  </si>
  <si>
    <t>Price of European call</t>
  </si>
  <si>
    <t>r=risk-free rate</t>
  </si>
  <si>
    <t>Binomial tree 2 periods discrete compounding</t>
  </si>
  <si>
    <t>u=up value</t>
  </si>
  <si>
    <t>d=down value</t>
  </si>
  <si>
    <t>1-q=</t>
  </si>
  <si>
    <t>K=strike price</t>
  </si>
  <si>
    <t>T=maturity</t>
  </si>
  <si>
    <t>C_uu=</t>
  </si>
  <si>
    <t>C_ud=</t>
  </si>
  <si>
    <t>C_dd=</t>
  </si>
  <si>
    <t>q= risk neutral</t>
  </si>
  <si>
    <t>Price of European put</t>
  </si>
  <si>
    <t>European call payoff</t>
  </si>
  <si>
    <t>u or d</t>
  </si>
  <si>
    <t>t=1</t>
  </si>
  <si>
    <t>t=2</t>
  </si>
  <si>
    <t>check om samme u og d værdier</t>
  </si>
  <si>
    <t>European put payoff</t>
  </si>
  <si>
    <t>C_0=price</t>
  </si>
  <si>
    <t xml:space="preserve">T=maturity </t>
  </si>
  <si>
    <t>Price of European v2</t>
  </si>
  <si>
    <t>European put payoff different strike price</t>
  </si>
  <si>
    <t>Put price</t>
  </si>
  <si>
    <t>Call price</t>
  </si>
  <si>
    <t>CHECK with put-call parity same strike price</t>
  </si>
  <si>
    <t>:=put price</t>
  </si>
  <si>
    <t>:=call price</t>
  </si>
  <si>
    <t>t=3</t>
  </si>
  <si>
    <t>Delta=</t>
  </si>
  <si>
    <t>from C_ud</t>
  </si>
  <si>
    <t>from C_uu</t>
  </si>
  <si>
    <t>t=1 down value</t>
  </si>
  <si>
    <t xml:space="preserve"> t=1 up value </t>
  </si>
  <si>
    <t>from C_du</t>
  </si>
  <si>
    <t>from C_dd</t>
  </si>
  <si>
    <t>t=0</t>
  </si>
  <si>
    <t>from C_u</t>
  </si>
  <si>
    <t>from C_d</t>
  </si>
  <si>
    <t>Replicating portfolio call option</t>
  </si>
  <si>
    <t>Replicating portfolio put option</t>
  </si>
  <si>
    <t>Price of European put v2</t>
  </si>
  <si>
    <t>P_0=price</t>
  </si>
  <si>
    <t>from P_uu</t>
  </si>
  <si>
    <t>from P_ud</t>
  </si>
  <si>
    <t>from P_du</t>
  </si>
  <si>
    <t>from P_dd</t>
  </si>
  <si>
    <t>from P_u</t>
  </si>
  <si>
    <t>from P_d</t>
  </si>
  <si>
    <t>Replicating portfolio put option new strike price</t>
  </si>
  <si>
    <t>Hedge portfolio European call</t>
  </si>
  <si>
    <t>Hedge portfolio European put</t>
  </si>
  <si>
    <t>Hedge portfolio European put v2</t>
  </si>
  <si>
    <t>Price of American put</t>
  </si>
  <si>
    <t>Price of American put v2</t>
  </si>
  <si>
    <t>American call payoff</t>
  </si>
  <si>
    <t>American put payoff</t>
  </si>
  <si>
    <t>American put payoff different strike price</t>
  </si>
  <si>
    <t>ret til igen</t>
  </si>
  <si>
    <t>S_t</t>
  </si>
  <si>
    <t>Hedge portfolio American call</t>
  </si>
  <si>
    <t>Hedge portfolio American put</t>
  </si>
  <si>
    <t>Hedge portfolio American put v2</t>
  </si>
  <si>
    <t>t=2 uu</t>
  </si>
  <si>
    <t>t=2 ud</t>
  </si>
  <si>
    <t>t=2 dd</t>
  </si>
  <si>
    <t>t=1 u værdi</t>
  </si>
  <si>
    <t>t=1 d værdi</t>
  </si>
  <si>
    <t>from C_uuu</t>
  </si>
  <si>
    <t>from C_udu</t>
  </si>
  <si>
    <t>from C_uud</t>
  </si>
  <si>
    <t>from C_udd</t>
  </si>
  <si>
    <t>from C_ddu</t>
  </si>
  <si>
    <t>from C_ddd</t>
  </si>
  <si>
    <t>from P_uuu</t>
  </si>
  <si>
    <t>from P_uud</t>
  </si>
  <si>
    <t>from P_udu</t>
  </si>
  <si>
    <t>from P_udd</t>
  </si>
  <si>
    <t>from P_ddu</t>
  </si>
  <si>
    <t>from P_ddd</t>
  </si>
  <si>
    <t>q binomial tree</t>
  </si>
  <si>
    <t>1-q binomial tree</t>
  </si>
  <si>
    <t>ARBITRAGE?</t>
  </si>
  <si>
    <t>Hvis 1 er der arbitrage</t>
  </si>
  <si>
    <t>Note: virker kun når de står i rigtig rækkefølge oppe i binomialtræet…</t>
  </si>
  <si>
    <t>B=</t>
  </si>
  <si>
    <t>Price of underlying</t>
  </si>
  <si>
    <t>t=4</t>
  </si>
  <si>
    <t>Price of American call</t>
  </si>
  <si>
    <t>t=3 uuu</t>
  </si>
  <si>
    <t>from C_uuuu</t>
  </si>
  <si>
    <t>from C_uuud</t>
  </si>
  <si>
    <t>t=3 uud</t>
  </si>
  <si>
    <t>from C_uudd</t>
  </si>
  <si>
    <t>Note: q binomial tree and check for arbitrage is lower down:)</t>
  </si>
  <si>
    <t>t=3 udd</t>
  </si>
  <si>
    <t>t=3 ddd</t>
  </si>
  <si>
    <t>from C_uddd</t>
  </si>
  <si>
    <t>from C_dddd</t>
  </si>
  <si>
    <t>from P_uuuu</t>
  </si>
  <si>
    <t>from P_uuud</t>
  </si>
  <si>
    <t>from P_uudd</t>
  </si>
  <si>
    <t>from P_uddd</t>
  </si>
  <si>
    <t>from P_dddd</t>
  </si>
  <si>
    <t>K=Strike price</t>
  </si>
  <si>
    <t>Forward price</t>
  </si>
  <si>
    <t>K_1=strike high</t>
  </si>
  <si>
    <t>K_2=strike low</t>
  </si>
  <si>
    <t>(for call)</t>
  </si>
  <si>
    <t>(for put)</t>
  </si>
  <si>
    <t>Handler om hvilken man går kort eller lang i</t>
  </si>
  <si>
    <t>Forward contract for same strike price long call</t>
  </si>
  <si>
    <t>Forward contract for same strike price long put</t>
  </si>
  <si>
    <t>Forward contract different strike price long call</t>
  </si>
  <si>
    <t>Forward contract different strike price long put</t>
  </si>
  <si>
    <t>(should be true)</t>
  </si>
  <si>
    <t>Arbitrage? (den er 1 hvis der er arbitrage)</t>
  </si>
  <si>
    <t>put-put</t>
  </si>
  <si>
    <t>call-call</t>
  </si>
  <si>
    <t>Interest rate tree</t>
  </si>
  <si>
    <t>q lattice (not recombining)</t>
  </si>
  <si>
    <t>0 to 1</t>
  </si>
  <si>
    <t>1 to 2</t>
  </si>
  <si>
    <t>2 to 3</t>
  </si>
  <si>
    <t>up</t>
  </si>
  <si>
    <t>down</t>
  </si>
  <si>
    <t xml:space="preserve">these two recombine </t>
  </si>
  <si>
    <t>for the interest rate</t>
  </si>
  <si>
    <t>Zero coupon bond prices</t>
  </si>
  <si>
    <t>B_0,1</t>
  </si>
  <si>
    <t>B_0,2</t>
  </si>
  <si>
    <t>B_0,3</t>
  </si>
  <si>
    <t>Calculated spot rates</t>
  </si>
  <si>
    <t>s_0,1</t>
  </si>
  <si>
    <t>s_0,2</t>
  </si>
  <si>
    <t>s_0,3</t>
  </si>
  <si>
    <t>Ho-Lee model (short rate a s a 1 factor model)</t>
  </si>
  <si>
    <t>Forward rates</t>
  </si>
  <si>
    <t>f_1,2</t>
  </si>
  <si>
    <t>f_2,3</t>
  </si>
  <si>
    <t>b=(given)</t>
  </si>
  <si>
    <t>a_2</t>
  </si>
  <si>
    <t>a_1</t>
  </si>
  <si>
    <t>a_3</t>
  </si>
  <si>
    <t>Måske? Forvirret</t>
  </si>
  <si>
    <t>3 year serial bond determine coupon</t>
  </si>
  <si>
    <t>price</t>
  </si>
  <si>
    <t>Principal (face value)</t>
  </si>
  <si>
    <t>Payment stream of serial bond</t>
  </si>
  <si>
    <t>year 1</t>
  </si>
  <si>
    <t>year 2</t>
  </si>
  <si>
    <t>year 3</t>
  </si>
  <si>
    <t>Coupon rate</t>
  </si>
  <si>
    <t>K=strike</t>
  </si>
  <si>
    <t>Price of bond state 1</t>
  </si>
  <si>
    <t>European call on serial bond expiration at time 2</t>
  </si>
  <si>
    <t>Price of bond state 3</t>
  </si>
  <si>
    <t>Price of bond state 2</t>
  </si>
  <si>
    <t>Payoff state 1</t>
  </si>
  <si>
    <t>Payoff state 3</t>
  </si>
  <si>
    <t>Payoff state 2</t>
  </si>
  <si>
    <t>C_0=call price</t>
  </si>
  <si>
    <t>3 year other bond</t>
  </si>
  <si>
    <t>Payment year 3</t>
  </si>
  <si>
    <t>European call on random bond expiration at time 2</t>
  </si>
  <si>
    <t>Corresponding put price (put-call parity)</t>
  </si>
  <si>
    <t>P_0=put price</t>
  </si>
  <si>
    <t>delivery after payment at time 2</t>
  </si>
  <si>
    <t>2 year futures contract on serial bond</t>
  </si>
  <si>
    <t>Futures price</t>
  </si>
  <si>
    <t>2 year futures contract on random bond</t>
  </si>
  <si>
    <t>(not) Forward contract different strike price long call</t>
  </si>
  <si>
    <t>(not) Forward contract different strike price long put</t>
  </si>
  <si>
    <t>den ovenover skal regnes selv</t>
  </si>
  <si>
    <t>Futures prices</t>
  </si>
  <si>
    <t>Disse er alle til tid 0 indtil maturity</t>
  </si>
  <si>
    <t>Futures cash flow at time t as buyer</t>
  </si>
  <si>
    <t>Futures cash flow at time t as seller</t>
  </si>
  <si>
    <t>These</t>
  </si>
  <si>
    <t>two</t>
  </si>
  <si>
    <t>are the</t>
  </si>
  <si>
    <t>same</t>
  </si>
  <si>
    <t>dem nedenunder virker og er rigtige, men har ikke lavet for t=3 for american</t>
  </si>
  <si>
    <t>uuuu</t>
  </si>
  <si>
    <t>uuud</t>
  </si>
  <si>
    <t>uudu</t>
  </si>
  <si>
    <t>uudd</t>
  </si>
  <si>
    <t>uddu</t>
  </si>
  <si>
    <t>uddd</t>
  </si>
  <si>
    <t>dddu</t>
  </si>
  <si>
    <t>dddd</t>
  </si>
  <si>
    <t>these are at the same point</t>
  </si>
  <si>
    <t>but from two different places</t>
  </si>
  <si>
    <t>so because they were from 2 places</t>
  </si>
  <si>
    <t>the futures prices were different</t>
  </si>
  <si>
    <t>we expected S(t) to be different</t>
  </si>
  <si>
    <t>because of the possible outcome</t>
  </si>
  <si>
    <t>that they did not have in common</t>
  </si>
  <si>
    <t>line between means they recombine so the one for the next time would come from either one</t>
  </si>
  <si>
    <t>ZCB tre for maturity T=3</t>
  </si>
  <si>
    <t>ZCB tre for maturity T_i=2</t>
  </si>
  <si>
    <t>(note: til tid 0 ingen dividends)</t>
  </si>
  <si>
    <t>fixed rate cash flow lattice (same as floating with A)</t>
  </si>
  <si>
    <t>Face value</t>
  </si>
  <si>
    <t>q=(risk-neutral p)</t>
  </si>
  <si>
    <t>r_1=</t>
  </si>
  <si>
    <t>r_2=</t>
  </si>
  <si>
    <t>r_3=</t>
  </si>
  <si>
    <t>F_1</t>
  </si>
  <si>
    <t>F_2</t>
  </si>
  <si>
    <t>alpha(1)</t>
  </si>
  <si>
    <t>Info om F</t>
  </si>
  <si>
    <t>Mean</t>
  </si>
  <si>
    <t>Variance</t>
  </si>
  <si>
    <t>hvorfor alpha?</t>
  </si>
  <si>
    <t>Cov(F_1,F_2)=</t>
  </si>
  <si>
    <t>return structure</t>
  </si>
  <si>
    <t>F_1~N</t>
  </si>
  <si>
    <t>F_2~N</t>
  </si>
  <si>
    <t>r\bar</t>
  </si>
  <si>
    <t>r_1bar</t>
  </si>
  <si>
    <t>r_2bar</t>
  </si>
  <si>
    <t>r_3bar</t>
  </si>
  <si>
    <t>Sigma matrix (variance and covariance)</t>
  </si>
  <si>
    <t>Lambda</t>
  </si>
  <si>
    <t>lambda_0=r_f</t>
  </si>
  <si>
    <t>lambda_1</t>
  </si>
  <si>
    <t>lambda_2</t>
  </si>
  <si>
    <t>[1 B]-matrice</t>
  </si>
  <si>
    <t>[1 B]^-1</t>
  </si>
  <si>
    <t>ide for formel:</t>
  </si>
  <si>
    <t>rho_r1,r2</t>
  </si>
  <si>
    <t>rho_r1,r3</t>
  </si>
  <si>
    <t>rho_r2,r3</t>
  </si>
  <si>
    <t>rho_r1,F1</t>
  </si>
  <si>
    <t>rho_r1,F2</t>
  </si>
  <si>
    <t>rho_r2,F1</t>
  </si>
  <si>
    <t>rho_r2,F2</t>
  </si>
  <si>
    <t>rho_r3,F1</t>
  </si>
  <si>
    <t>rho_r3,F2</t>
  </si>
  <si>
    <t>Correlation with returns</t>
  </si>
  <si>
    <t>cov_r1,F1</t>
  </si>
  <si>
    <t>cov_r1,F2</t>
  </si>
  <si>
    <t>cov_r2,F1</t>
  </si>
  <si>
    <t>cov_r2,F2</t>
  </si>
  <si>
    <t>cov_r3,F1</t>
  </si>
  <si>
    <t>cov_r3,F2</t>
  </si>
  <si>
    <t>Covaraince and correlation with factors</t>
  </si>
  <si>
    <t>Covariance</t>
  </si>
  <si>
    <t>Correlation</t>
  </si>
  <si>
    <t>Fordeling af r</t>
  </si>
  <si>
    <t>r_1~N</t>
  </si>
  <si>
    <t>r_2~N</t>
  </si>
  <si>
    <t>r_3~N</t>
  </si>
  <si>
    <t>Expected return</t>
  </si>
  <si>
    <t>alpha_new</t>
  </si>
  <si>
    <t>F_1 new</t>
  </si>
  <si>
    <t>F_2 new</t>
  </si>
  <si>
    <t>F_i new is F_i- old mean</t>
  </si>
  <si>
    <t>alpha</t>
  </si>
  <si>
    <t>ATP Price</t>
  </si>
  <si>
    <t>r\bar (F=0)</t>
  </si>
  <si>
    <t>Return too</t>
  </si>
  <si>
    <t>compared to equilibrium price</t>
  </si>
  <si>
    <t>Price set too</t>
  </si>
  <si>
    <t>for the return it has</t>
  </si>
  <si>
    <t>Rewrite return structure so F~N(0,V)</t>
  </si>
  <si>
    <t>New asset (for F~N(0,V))</t>
  </si>
  <si>
    <t>Bond 1</t>
  </si>
  <si>
    <t>Bond 2</t>
  </si>
  <si>
    <t>Bond 3</t>
  </si>
  <si>
    <t>Discount factors</t>
  </si>
  <si>
    <t>d_0,1</t>
  </si>
  <si>
    <t>d_0,2</t>
  </si>
  <si>
    <t>d_0,3</t>
  </si>
  <si>
    <t>Payment stream s (skriv 0 hvis ingen)</t>
  </si>
  <si>
    <t>r constant</t>
  </si>
  <si>
    <t>this is 1/(1+r)^n if we have given an r</t>
  </si>
  <si>
    <t>D_mod</t>
  </si>
  <si>
    <t>D_mac</t>
  </si>
  <si>
    <t>Info about the bonds we use</t>
  </si>
  <si>
    <t>Price</t>
  </si>
  <si>
    <t>Coupon</t>
  </si>
  <si>
    <t>Maturity</t>
  </si>
  <si>
    <t>Yield to mat</t>
  </si>
  <si>
    <t>only for m=1 or fit to make it "like" m=1</t>
  </si>
  <si>
    <t>Convexity</t>
  </si>
  <si>
    <t>virker måske ikke</t>
  </si>
  <si>
    <t>Price of bond (given r constant) (skriv ind ovenover)</t>
  </si>
  <si>
    <t>Price of bond given (or calculated)</t>
  </si>
  <si>
    <t>Payment stream</t>
  </si>
  <si>
    <t>General idea</t>
  </si>
  <si>
    <t>Yield to maturity</t>
  </si>
  <si>
    <t>Mellemregning</t>
  </si>
  <si>
    <t>Modified duration</t>
  </si>
  <si>
    <t>Macauley duration</t>
  </si>
  <si>
    <t>General idea (write nothing in the payment stream if there is nothing at that time)</t>
  </si>
  <si>
    <t>Dividends</t>
  </si>
  <si>
    <t>ud=du if it is the same proportional dividend</t>
  </si>
  <si>
    <t>Value of the underlying</t>
  </si>
  <si>
    <t>These two might be the same!</t>
  </si>
  <si>
    <t>the t=1 and 2 are irrelevant for european options!!!</t>
  </si>
  <si>
    <t>maybe same</t>
  </si>
  <si>
    <t>u</t>
  </si>
  <si>
    <t>d</t>
  </si>
  <si>
    <t>the t=1 and 2 and 3 are irrelevant for european options!!!</t>
  </si>
  <si>
    <t>If it recombines same colored ones need to have the same value!</t>
  </si>
  <si>
    <t>f_0,1</t>
  </si>
  <si>
    <t>just the spot rate for 0 to 1</t>
  </si>
  <si>
    <t>hedge portfolio</t>
  </si>
  <si>
    <t>tjek weights</t>
  </si>
  <si>
    <t>w_A</t>
  </si>
  <si>
    <t>w_B</t>
  </si>
  <si>
    <t>w_C</t>
  </si>
  <si>
    <t>portfolio:</t>
  </si>
  <si>
    <t>duration</t>
  </si>
  <si>
    <t>convexity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</si>
</sst>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DB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DBC"/>
        <bgColor rgb="FF000000"/>
      </patternFill>
    </fill>
    <fill>
      <patternFill patternType="solid">
        <fgColor rgb="FFF3FCFC"/>
        <bgColor indexed="64"/>
      </patternFill>
    </fill>
    <fill>
      <patternFill patternType="solid">
        <fgColor rgb="FFEEFDF6"/>
        <bgColor indexed="64"/>
      </patternFill>
    </fill>
    <fill>
      <patternFill patternType="solid">
        <fgColor rgb="FFF4C8C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92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/>
    <xf numFmtId="2" fontId="0" fillId="0" borderId="4" xfId="0" applyNumberFormat="1" applyBorder="1"/>
    <xf numFmtId="0" fontId="0" fillId="4" borderId="4" xfId="0" applyFill="1" applyBorder="1"/>
    <xf numFmtId="0" fontId="0" fillId="4" borderId="0" xfId="0" applyFill="1"/>
    <xf numFmtId="2" fontId="0" fillId="4" borderId="0" xfId="0" applyNumberFormat="1" applyFill="1"/>
    <xf numFmtId="2" fontId="0" fillId="4" borderId="5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5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5" xfId="0" applyFill="1" applyBorder="1"/>
    <xf numFmtId="0" fontId="0" fillId="5" borderId="0" xfId="0" applyFill="1"/>
    <xf numFmtId="0" fontId="0" fillId="5" borderId="5" xfId="0" applyFill="1" applyBorder="1"/>
    <xf numFmtId="0" fontId="0" fillId="6" borderId="0" xfId="0" applyFill="1"/>
    <xf numFmtId="0" fontId="0" fillId="6" borderId="5" xfId="0" applyFill="1" applyBorder="1"/>
    <xf numFmtId="0" fontId="0" fillId="6" borderId="8" xfId="0" applyFill="1" applyBorder="1"/>
    <xf numFmtId="0" fontId="0" fillId="6" borderId="4" xfId="0" applyFill="1" applyBorder="1"/>
    <xf numFmtId="0" fontId="0" fillId="6" borderId="7" xfId="0" applyFill="1" applyBorder="1"/>
    <xf numFmtId="0" fontId="0" fillId="5" borderId="4" xfId="0" applyFill="1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1" xfId="0" applyFill="1" applyBorder="1"/>
    <xf numFmtId="164" fontId="0" fillId="0" borderId="0" xfId="0" applyNumberFormat="1"/>
    <xf numFmtId="164" fontId="0" fillId="0" borderId="5" xfId="0" applyNumberFormat="1" applyBorder="1"/>
    <xf numFmtId="0" fontId="0" fillId="3" borderId="8" xfId="0" applyFill="1" applyBorder="1"/>
    <xf numFmtId="0" fontId="0" fillId="0" borderId="9" xfId="0" applyBorder="1"/>
    <xf numFmtId="2" fontId="0" fillId="3" borderId="5" xfId="0" applyNumberFormat="1" applyFill="1" applyBorder="1"/>
    <xf numFmtId="0" fontId="0" fillId="3" borderId="7" xfId="0" applyFill="1" applyBorder="1"/>
    <xf numFmtId="0" fontId="0" fillId="6" borderId="1" xfId="0" applyFill="1" applyBorder="1"/>
    <xf numFmtId="0" fontId="0" fillId="6" borderId="3" xfId="0" applyFill="1" applyBorder="1"/>
    <xf numFmtId="2" fontId="0" fillId="0" borderId="7" xfId="0" applyNumberFormat="1" applyBorder="1"/>
    <xf numFmtId="0" fontId="0" fillId="8" borderId="5" xfId="0" applyFill="1" applyBorder="1"/>
    <xf numFmtId="0" fontId="0" fillId="8" borderId="8" xfId="0" applyFill="1" applyBorder="1"/>
    <xf numFmtId="0" fontId="0" fillId="6" borderId="2" xfId="0" applyFill="1" applyBorder="1"/>
    <xf numFmtId="0" fontId="0" fillId="8" borderId="0" xfId="0" applyFill="1"/>
    <xf numFmtId="0" fontId="0" fillId="8" borderId="7" xfId="0" applyFill="1" applyBorder="1"/>
    <xf numFmtId="0" fontId="0" fillId="8" borderId="4" xfId="0" applyFill="1" applyBorder="1"/>
    <xf numFmtId="0" fontId="0" fillId="8" borderId="6" xfId="0" applyFill="1" applyBorder="1"/>
    <xf numFmtId="0" fontId="0" fillId="9" borderId="0" xfId="0" applyFill="1"/>
    <xf numFmtId="0" fontId="1" fillId="0" borderId="4" xfId="0" applyFont="1" applyBorder="1"/>
    <xf numFmtId="0" fontId="1" fillId="0" borderId="0" xfId="0" applyFont="1"/>
    <xf numFmtId="0" fontId="1" fillId="10" borderId="1" xfId="0" applyFont="1" applyFill="1" applyBorder="1"/>
    <xf numFmtId="0" fontId="1" fillId="10" borderId="12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11" borderId="0" xfId="0" applyFont="1" applyFill="1"/>
    <xf numFmtId="0" fontId="0" fillId="0" borderId="11" xfId="0" applyBorder="1"/>
    <xf numFmtId="0" fontId="0" fillId="12" borderId="5" xfId="0" applyFill="1" applyBorder="1"/>
    <xf numFmtId="0" fontId="0" fillId="12" borderId="0" xfId="0" applyFill="1"/>
    <xf numFmtId="0" fontId="0" fillId="12" borderId="8" xfId="0" applyFill="1" applyBorder="1"/>
    <xf numFmtId="0" fontId="0" fillId="13" borderId="0" xfId="0" applyFill="1"/>
    <xf numFmtId="0" fontId="0" fillId="13" borderId="5" xfId="0" applyFill="1" applyBorder="1"/>
    <xf numFmtId="0" fontId="0" fillId="12" borderId="7" xfId="0" applyFill="1" applyBorder="1"/>
    <xf numFmtId="0" fontId="0" fillId="12" borderId="13" xfId="0" applyFill="1" applyBorder="1"/>
    <xf numFmtId="0" fontId="0" fillId="12" borderId="14" xfId="0" applyFill="1" applyBorder="1"/>
    <xf numFmtId="0" fontId="0" fillId="0" borderId="14" xfId="0" applyBorder="1"/>
    <xf numFmtId="49" fontId="0" fillId="0" borderId="0" xfId="0" applyNumberFormat="1"/>
    <xf numFmtId="164" fontId="1" fillId="0" borderId="0" xfId="0" applyNumberFormat="1" applyFont="1"/>
    <xf numFmtId="0" fontId="0" fillId="14" borderId="0" xfId="0" applyFill="1"/>
    <xf numFmtId="0" fontId="0" fillId="14" borderId="2" xfId="0" applyFill="1" applyBorder="1"/>
    <xf numFmtId="0" fontId="2" fillId="3" borderId="5" xfId="0" applyFont="1" applyFill="1" applyBorder="1"/>
    <xf numFmtId="0" fontId="0" fillId="15" borderId="0" xfId="0" applyFill="1"/>
    <xf numFmtId="0" fontId="0" fillId="16" borderId="5" xfId="0" applyFill="1" applyBorder="1"/>
    <xf numFmtId="0" fontId="0" fillId="17" borderId="5" xfId="0" applyFill="1" applyBorder="1"/>
    <xf numFmtId="164" fontId="0" fillId="7" borderId="9" xfId="0" applyNumberFormat="1" applyFill="1" applyBorder="1"/>
    <xf numFmtId="164" fontId="0" fillId="7" borderId="11" xfId="0" applyNumberFormat="1" applyFill="1" applyBorder="1"/>
    <xf numFmtId="164" fontId="0" fillId="7" borderId="10" xfId="0" applyNumberFormat="1" applyFill="1" applyBorder="1"/>
    <xf numFmtId="164" fontId="0" fillId="0" borderId="4" xfId="0" applyNumberFormat="1" applyBorder="1"/>
    <xf numFmtId="164" fontId="0" fillId="3" borderId="5" xfId="0" applyNumberFormat="1" applyFill="1" applyBorder="1"/>
    <xf numFmtId="164" fontId="0" fillId="14" borderId="0" xfId="0" applyNumberFormat="1" applyFill="1"/>
    <xf numFmtId="164" fontId="0" fillId="3" borderId="0" xfId="0" applyNumberFormat="1" applyFill="1"/>
    <xf numFmtId="164" fontId="0" fillId="0" borderId="6" xfId="0" applyNumberFormat="1" applyBorder="1"/>
    <xf numFmtId="164" fontId="0" fillId="3" borderId="8" xfId="0" applyNumberFormat="1" applyFill="1" applyBorder="1"/>
    <xf numFmtId="164" fontId="0" fillId="0" borderId="7" xfId="0" applyNumberFormat="1" applyBorder="1"/>
    <xf numFmtId="164" fontId="0" fillId="14" borderId="7" xfId="0" applyNumberFormat="1" applyFill="1" applyBorder="1"/>
    <xf numFmtId="164" fontId="0" fillId="3" borderId="7" xfId="0" applyNumberFormat="1" applyFill="1" applyBorder="1"/>
    <xf numFmtId="164" fontId="0" fillId="0" borderId="8" xfId="0" applyNumberFormat="1" applyBorder="1"/>
    <xf numFmtId="164" fontId="0" fillId="8" borderId="5" xfId="0" applyNumberFormat="1" applyFill="1" applyBorder="1"/>
    <xf numFmtId="164" fontId="0" fillId="8" borderId="8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BC"/>
      <color rgb="FFF4C8C8"/>
      <color rgb="FFEEFDF6"/>
      <color rgb="FFF3FCFC"/>
      <color rgb="FFE6FC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Spot rate curve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'State prices from short rate la'!$D$41:$N$41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'State prices from short rate la'!$D$43:$N$43</c:f>
              <c:numCache>
                <c:formatCode>General</c:formatCode>
                <c:ptCount val="11"/>
                <c:pt idx="0">
                  <c:v>0.06</c:v>
                </c:pt>
                <c:pt idx="1">
                  <c:v>6.0000000000000053E-2</c:v>
                </c:pt>
                <c:pt idx="2">
                  <c:v>6.1460893579366349E-2</c:v>
                </c:pt>
                <c:pt idx="3">
                  <c:v>6.2939061427014442E-2</c:v>
                </c:pt>
                <c:pt idx="4">
                  <c:v>6.4430791167313206E-2</c:v>
                </c:pt>
                <c:pt idx="5">
                  <c:v>6.5931994044003961E-2</c:v>
                </c:pt>
                <c:pt idx="6">
                  <c:v>6.7438247386269135E-2</c:v>
                </c:pt>
                <c:pt idx="7">
                  <c:v>6.8944852891041686E-2</c:v>
                </c:pt>
                <c:pt idx="8">
                  <c:v>7.0446909637297717E-2</c:v>
                </c:pt>
                <c:pt idx="9">
                  <c:v>7.1939399424038264E-2</c:v>
                </c:pt>
                <c:pt idx="10">
                  <c:v>7.3417280764447534E-2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D1-E541-955D-FDF9D09E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144592"/>
        <c:axId val="39777103"/>
      </c:lineChart>
      <c:catAx>
        <c:axId val="76214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39777103"/>
        <c:crosses val="autoZero"/>
        <c:auto val="1"/>
        <c:lblAlgn val="ctr"/>
        <c:lblOffset val="100"/>
        <c:noMultiLvlLbl val="0"/>
      </c:catAx>
      <c:valAx>
        <c:axId val="397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6214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3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2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715042</xdr:colOff>
      <xdr:row>21</xdr:row>
      <xdr:rowOff>74704</xdr:rowOff>
    </xdr:from>
    <xdr:to>
      <xdr:col>15</xdr:col>
      <xdr:colOff>352642</xdr:colOff>
      <xdr:row>24</xdr:row>
      <xdr:rowOff>39939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FC53FBBE-246F-2947-A48E-29FD66C0B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8655" y="4332939"/>
          <a:ext cx="2924659" cy="573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503673</xdr:colOff>
      <xdr:row>26</xdr:row>
      <xdr:rowOff>194075</xdr:rowOff>
    </xdr:from>
    <xdr:to>
      <xdr:col>24</xdr:col>
      <xdr:colOff>46285</xdr:colOff>
      <xdr:row>37</xdr:row>
      <xdr:rowOff>33144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4E8EDF0B-3EE3-2549-B27E-A78C5CA41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62840" y="5391668"/>
          <a:ext cx="7774093" cy="2038050"/>
        </a:xfrm>
        <a:prstGeom prst="rect">
          <a:avLst/>
        </a:prstGeom>
      </xdr:spPr>
    </xdr:pic>
    <xdr:clientData/>
  </xdr:twoCellAnchor>
  <xdr:twoCellAnchor>
    <xdr:from>
      <xdr:col>4</xdr:col>
      <xdr:colOff>312157</xdr:colOff>
      <xdr:row>45</xdr:row>
      <xdr:rowOff>350</xdr:rowOff>
    </xdr:from>
    <xdr:to>
      <xdr:col>9</xdr:col>
      <xdr:colOff>767518</xdr:colOff>
      <xdr:row>58</xdr:row>
      <xdr:rowOff>101950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1EB89313-D79B-A97B-BA45-651664C5A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515432</xdr:colOff>
      <xdr:row>39</xdr:row>
      <xdr:rowOff>115993</xdr:rowOff>
    </xdr:from>
    <xdr:to>
      <xdr:col>20</xdr:col>
      <xdr:colOff>619572</xdr:colOff>
      <xdr:row>48</xdr:row>
      <xdr:rowOff>55785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9B7F62DC-D0B0-4239-F0B8-AF76F4796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74599" y="7912382"/>
          <a:ext cx="5043029" cy="17389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546100</xdr:colOff>
      <xdr:row>11</xdr:row>
      <xdr:rowOff>177800</xdr:rowOff>
    </xdr:from>
    <xdr:to>
      <xdr:col>14</xdr:col>
      <xdr:colOff>698500</xdr:colOff>
      <xdr:row>14</xdr:row>
      <xdr:rowOff>165099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B3F2153E-428D-4B9E-3ABD-8464D003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4900" y="2209800"/>
          <a:ext cx="1803400" cy="596900"/>
        </a:xfrm>
        <a:prstGeom prst="rect">
          <a:avLst/>
        </a:prstGeom>
      </xdr:spPr>
    </xdr:pic>
    <xdr:clientData/>
  </xdr:twoCellAnchor>
  <xdr:twoCellAnchor editAs="oneCell">
    <xdr:from>
      <xdr:col>12</xdr:col>
      <xdr:colOff>622300</xdr:colOff>
      <xdr:row>15</xdr:row>
      <xdr:rowOff>190500</xdr:rowOff>
    </xdr:from>
    <xdr:to>
      <xdr:col>18</xdr:col>
      <xdr:colOff>203200</xdr:colOff>
      <xdr:row>18</xdr:row>
      <xdr:rowOff>12700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F8BF8B89-1BC7-FCFB-4C0F-216300693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1100" y="3035300"/>
          <a:ext cx="4533900" cy="431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719667</xdr:colOff>
      <xdr:row>6</xdr:row>
      <xdr:rowOff>169334</xdr:rowOff>
    </xdr:from>
    <xdr:to>
      <xdr:col>2</xdr:col>
      <xdr:colOff>609600</xdr:colOff>
      <xdr:row>10</xdr:row>
      <xdr:rowOff>105834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56462BBF-35F5-2146-4DCE-DF094A71C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67" y="1388534"/>
          <a:ext cx="1549400" cy="7493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24</xdr:row>
      <xdr:rowOff>121920</xdr:rowOff>
    </xdr:from>
    <xdr:to>
      <xdr:col>2</xdr:col>
      <xdr:colOff>690880</xdr:colOff>
      <xdr:row>26</xdr:row>
      <xdr:rowOff>20320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2A406685-1887-C101-8DF2-3C41D59EC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4998720"/>
          <a:ext cx="22352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32</xdr:row>
      <xdr:rowOff>132080</xdr:rowOff>
    </xdr:from>
    <xdr:to>
      <xdr:col>2</xdr:col>
      <xdr:colOff>746760</xdr:colOff>
      <xdr:row>35</xdr:row>
      <xdr:rowOff>1852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B26F1502-9B99-21E8-D74F-4A3626B49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" y="6634480"/>
          <a:ext cx="2108200" cy="46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29</xdr:row>
      <xdr:rowOff>20320</xdr:rowOff>
    </xdr:from>
    <xdr:to>
      <xdr:col>2</xdr:col>
      <xdr:colOff>528320</xdr:colOff>
      <xdr:row>32</xdr:row>
      <xdr:rowOff>46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C319A381-11B6-14C5-9A39-5F201104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" y="5913120"/>
          <a:ext cx="1320800" cy="584200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38</xdr:row>
      <xdr:rowOff>10160</xdr:rowOff>
    </xdr:from>
    <xdr:to>
      <xdr:col>2</xdr:col>
      <xdr:colOff>551955</xdr:colOff>
      <xdr:row>42</xdr:row>
      <xdr:rowOff>71120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ECA6D9DF-A065-4727-13D6-CA07544B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7731760"/>
          <a:ext cx="1618755" cy="873760"/>
        </a:xfrm>
        <a:prstGeom prst="rect">
          <a:avLst/>
        </a:prstGeom>
      </xdr:spPr>
    </xdr:pic>
    <xdr:clientData/>
  </xdr:twoCellAnchor>
  <xdr:twoCellAnchor editAs="oneCell">
    <xdr:from>
      <xdr:col>0</xdr:col>
      <xdr:colOff>397024</xdr:colOff>
      <xdr:row>46</xdr:row>
      <xdr:rowOff>193230</xdr:rowOff>
    </xdr:from>
    <xdr:to>
      <xdr:col>2</xdr:col>
      <xdr:colOff>611262</xdr:colOff>
      <xdr:row>50</xdr:row>
      <xdr:rowOff>118454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904E645E-CA60-B52F-6B49-9DAD4A88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7024" y="9474912"/>
          <a:ext cx="1875920" cy="732327"/>
        </a:xfrm>
        <a:prstGeom prst="rect">
          <a:avLst/>
        </a:prstGeom>
      </xdr:spPr>
    </xdr:pic>
    <xdr:clientData/>
  </xdr:twoCellAnchor>
  <xdr:twoCellAnchor editAs="oneCell">
    <xdr:from>
      <xdr:col>0</xdr:col>
      <xdr:colOff>446594</xdr:colOff>
      <xdr:row>51</xdr:row>
      <xdr:rowOff>97692</xdr:rowOff>
    </xdr:from>
    <xdr:to>
      <xdr:col>2</xdr:col>
      <xdr:colOff>514281</xdr:colOff>
      <xdr:row>53</xdr:row>
      <xdr:rowOff>85411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8A8AEEEE-04D8-BD7B-1915-B680F7288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6594" y="10774066"/>
          <a:ext cx="1714500" cy="406400"/>
        </a:xfrm>
        <a:prstGeom prst="rect">
          <a:avLst/>
        </a:prstGeom>
      </xdr:spPr>
    </xdr:pic>
    <xdr:clientData/>
  </xdr:twoCellAnchor>
  <xdr:twoCellAnchor editAs="oneCell">
    <xdr:from>
      <xdr:col>26</xdr:col>
      <xdr:colOff>172720</xdr:colOff>
      <xdr:row>5</xdr:row>
      <xdr:rowOff>162560</xdr:rowOff>
    </xdr:from>
    <xdr:to>
      <xdr:col>27</xdr:col>
      <xdr:colOff>690880</xdr:colOff>
      <xdr:row>7</xdr:row>
      <xdr:rowOff>50912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CE59E239-1DC1-734A-9088-1C850C0B1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05620" y="1178560"/>
          <a:ext cx="1343660" cy="2947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719667</xdr:colOff>
      <xdr:row>6</xdr:row>
      <xdr:rowOff>169334</xdr:rowOff>
    </xdr:from>
    <xdr:to>
      <xdr:col>2</xdr:col>
      <xdr:colOff>609600</xdr:colOff>
      <xdr:row>10</xdr:row>
      <xdr:rowOff>105834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D9A38466-3092-A049-8F73-0D73C4FD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667" y="1388534"/>
          <a:ext cx="1540933" cy="7493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28</xdr:row>
      <xdr:rowOff>176661</xdr:rowOff>
    </xdr:from>
    <xdr:to>
      <xdr:col>2</xdr:col>
      <xdr:colOff>690880</xdr:colOff>
      <xdr:row>30</xdr:row>
      <xdr:rowOff>75061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A9497C6-4643-E24B-BF8C-65FD1C32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6001144"/>
          <a:ext cx="2231521" cy="314434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37</xdr:row>
      <xdr:rowOff>132080</xdr:rowOff>
    </xdr:from>
    <xdr:to>
      <xdr:col>2</xdr:col>
      <xdr:colOff>746760</xdr:colOff>
      <xdr:row>40</xdr:row>
      <xdr:rowOff>195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24A4B435-43A1-A040-AF30-2377C3BC9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" y="6634480"/>
          <a:ext cx="2113280" cy="46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34</xdr:row>
      <xdr:rowOff>20320</xdr:rowOff>
    </xdr:from>
    <xdr:to>
      <xdr:col>2</xdr:col>
      <xdr:colOff>528320</xdr:colOff>
      <xdr:row>37</xdr:row>
      <xdr:rowOff>46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117B2455-3C39-0E48-8637-A985CC24D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980" y="5913120"/>
          <a:ext cx="1323340" cy="58932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43</xdr:row>
      <xdr:rowOff>10160</xdr:rowOff>
    </xdr:from>
    <xdr:to>
      <xdr:col>2</xdr:col>
      <xdr:colOff>551955</xdr:colOff>
      <xdr:row>47</xdr:row>
      <xdr:rowOff>71120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7A1380B3-4997-F645-B243-1C48FBED2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7731760"/>
          <a:ext cx="1623835" cy="873760"/>
        </a:xfrm>
        <a:prstGeom prst="rect">
          <a:avLst/>
        </a:prstGeom>
      </xdr:spPr>
    </xdr:pic>
    <xdr:clientData/>
  </xdr:twoCellAnchor>
  <xdr:twoCellAnchor editAs="oneCell">
    <xdr:from>
      <xdr:col>0</xdr:col>
      <xdr:colOff>266291</xdr:colOff>
      <xdr:row>68</xdr:row>
      <xdr:rowOff>102420</xdr:rowOff>
    </xdr:from>
    <xdr:to>
      <xdr:col>2</xdr:col>
      <xdr:colOff>342081</xdr:colOff>
      <xdr:row>70</xdr:row>
      <xdr:rowOff>99142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1B525053-BD4A-9342-B567-BB3D7FD96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291" y="14031452"/>
          <a:ext cx="1714500" cy="406400"/>
        </a:xfrm>
        <a:prstGeom prst="rect">
          <a:avLst/>
        </a:prstGeom>
      </xdr:spPr>
    </xdr:pic>
    <xdr:clientData/>
  </xdr:twoCellAnchor>
  <xdr:twoCellAnchor editAs="oneCell">
    <xdr:from>
      <xdr:col>29</xdr:col>
      <xdr:colOff>172720</xdr:colOff>
      <xdr:row>5</xdr:row>
      <xdr:rowOff>162560</xdr:rowOff>
    </xdr:from>
    <xdr:to>
      <xdr:col>30</xdr:col>
      <xdr:colOff>690879</xdr:colOff>
      <xdr:row>7</xdr:row>
      <xdr:rowOff>50912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86E8961A-7B0B-494C-986B-4BB154A65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32820" y="1178560"/>
          <a:ext cx="1343660" cy="2947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618067</xdr:colOff>
      <xdr:row>48</xdr:row>
      <xdr:rowOff>186267</xdr:rowOff>
    </xdr:from>
    <xdr:to>
      <xdr:col>2</xdr:col>
      <xdr:colOff>508000</xdr:colOff>
      <xdr:row>52</xdr:row>
      <xdr:rowOff>122767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E0289CF2-25A5-4B44-8444-A952B6E72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067" y="9939867"/>
          <a:ext cx="1549400" cy="7493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24</xdr:row>
      <xdr:rowOff>121920</xdr:rowOff>
    </xdr:from>
    <xdr:to>
      <xdr:col>2</xdr:col>
      <xdr:colOff>690880</xdr:colOff>
      <xdr:row>26</xdr:row>
      <xdr:rowOff>20320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DDAB67D5-C600-354F-9BEA-E7AC57A53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4998720"/>
          <a:ext cx="224028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32</xdr:row>
      <xdr:rowOff>132080</xdr:rowOff>
    </xdr:from>
    <xdr:to>
      <xdr:col>2</xdr:col>
      <xdr:colOff>746760</xdr:colOff>
      <xdr:row>34</xdr:row>
      <xdr:rowOff>195580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8573EF01-8E12-5445-9341-68A34B04D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" y="6634480"/>
          <a:ext cx="2113280" cy="46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29</xdr:row>
      <xdr:rowOff>20320</xdr:rowOff>
    </xdr:from>
    <xdr:to>
      <xdr:col>2</xdr:col>
      <xdr:colOff>528320</xdr:colOff>
      <xdr:row>32</xdr:row>
      <xdr:rowOff>46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5B8AADB6-D53C-ED4D-8E43-4F9947DC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980" y="5913120"/>
          <a:ext cx="1323340" cy="58932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38</xdr:row>
      <xdr:rowOff>10160</xdr:rowOff>
    </xdr:from>
    <xdr:to>
      <xdr:col>2</xdr:col>
      <xdr:colOff>551955</xdr:colOff>
      <xdr:row>42</xdr:row>
      <xdr:rowOff>71120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5C10FD96-1ADB-B749-BB4C-F0D64CCDD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7731760"/>
          <a:ext cx="1623835" cy="873760"/>
        </a:xfrm>
        <a:prstGeom prst="rect">
          <a:avLst/>
        </a:prstGeom>
      </xdr:spPr>
    </xdr:pic>
    <xdr:clientData/>
  </xdr:twoCellAnchor>
  <xdr:twoCellAnchor editAs="oneCell">
    <xdr:from>
      <xdr:col>0</xdr:col>
      <xdr:colOff>356219</xdr:colOff>
      <xdr:row>57</xdr:row>
      <xdr:rowOff>92927</xdr:rowOff>
    </xdr:from>
    <xdr:to>
      <xdr:col>2</xdr:col>
      <xdr:colOff>429012</xdr:colOff>
      <xdr:row>59</xdr:row>
      <xdr:rowOff>96644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69203506-2108-C54D-8AB0-6F130EAC5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6219" y="11569390"/>
          <a:ext cx="1714500" cy="406400"/>
        </a:xfrm>
        <a:prstGeom prst="rect">
          <a:avLst/>
        </a:prstGeom>
      </xdr:spPr>
    </xdr:pic>
    <xdr:clientData/>
  </xdr:twoCellAnchor>
  <xdr:twoCellAnchor editAs="oneCell">
    <xdr:from>
      <xdr:col>26</xdr:col>
      <xdr:colOff>172720</xdr:colOff>
      <xdr:row>5</xdr:row>
      <xdr:rowOff>162560</xdr:rowOff>
    </xdr:from>
    <xdr:to>
      <xdr:col>27</xdr:col>
      <xdr:colOff>690880</xdr:colOff>
      <xdr:row>7</xdr:row>
      <xdr:rowOff>50912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D62EB95C-09DC-81D7-1D9C-92EC9BEE6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047200" y="1178560"/>
          <a:ext cx="1341120" cy="2947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698848</xdr:colOff>
      <xdr:row>68</xdr:row>
      <xdr:rowOff>148514</xdr:rowOff>
    </xdr:from>
    <xdr:to>
      <xdr:col>2</xdr:col>
      <xdr:colOff>588781</xdr:colOff>
      <xdr:row>72</xdr:row>
      <xdr:rowOff>85014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132BEED-D393-184E-AD8F-CD96D08E8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848" y="14305891"/>
          <a:ext cx="1555507" cy="769287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28</xdr:row>
      <xdr:rowOff>176661</xdr:rowOff>
    </xdr:from>
    <xdr:to>
      <xdr:col>2</xdr:col>
      <xdr:colOff>690880</xdr:colOff>
      <xdr:row>30</xdr:row>
      <xdr:rowOff>75061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7AB70E21-073D-4F41-A25F-76B10ED3E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5866261"/>
          <a:ext cx="224028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37</xdr:row>
      <xdr:rowOff>132080</xdr:rowOff>
    </xdr:from>
    <xdr:to>
      <xdr:col>2</xdr:col>
      <xdr:colOff>746760</xdr:colOff>
      <xdr:row>39</xdr:row>
      <xdr:rowOff>195580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ED90345C-0C35-0B47-BB14-24B80FEA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" y="7650480"/>
          <a:ext cx="2113280" cy="46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34</xdr:row>
      <xdr:rowOff>20320</xdr:rowOff>
    </xdr:from>
    <xdr:to>
      <xdr:col>2</xdr:col>
      <xdr:colOff>528320</xdr:colOff>
      <xdr:row>37</xdr:row>
      <xdr:rowOff>46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CA779ABA-07AC-EB45-B13D-54563DEDE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980" y="6929120"/>
          <a:ext cx="1323340" cy="58932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43</xdr:row>
      <xdr:rowOff>10160</xdr:rowOff>
    </xdr:from>
    <xdr:to>
      <xdr:col>2</xdr:col>
      <xdr:colOff>551955</xdr:colOff>
      <xdr:row>47</xdr:row>
      <xdr:rowOff>71120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E41674FC-6194-8949-B79D-A721F9754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8747760"/>
          <a:ext cx="1623835" cy="873760"/>
        </a:xfrm>
        <a:prstGeom prst="rect">
          <a:avLst/>
        </a:prstGeom>
      </xdr:spPr>
    </xdr:pic>
    <xdr:clientData/>
  </xdr:twoCellAnchor>
  <xdr:twoCellAnchor editAs="oneCell">
    <xdr:from>
      <xdr:col>0</xdr:col>
      <xdr:colOff>525517</xdr:colOff>
      <xdr:row>77</xdr:row>
      <xdr:rowOff>109483</xdr:rowOff>
    </xdr:from>
    <xdr:to>
      <xdr:col>2</xdr:col>
      <xdr:colOff>575879</xdr:colOff>
      <xdr:row>79</xdr:row>
      <xdr:rowOff>121745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079F7EE6-9EFA-DF41-8584-2D2F13552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5517" y="15283793"/>
          <a:ext cx="1714500" cy="406400"/>
        </a:xfrm>
        <a:prstGeom prst="rect">
          <a:avLst/>
        </a:prstGeom>
      </xdr:spPr>
    </xdr:pic>
    <xdr:clientData/>
  </xdr:twoCellAnchor>
  <xdr:twoCellAnchor editAs="oneCell">
    <xdr:from>
      <xdr:col>29</xdr:col>
      <xdr:colOff>312280</xdr:colOff>
      <xdr:row>5</xdr:row>
      <xdr:rowOff>162561</xdr:rowOff>
    </xdr:from>
    <xdr:to>
      <xdr:col>30</xdr:col>
      <xdr:colOff>729943</xdr:colOff>
      <xdr:row>7</xdr:row>
      <xdr:rowOff>27913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2DD9E7CC-2218-8046-87FB-CE768C5B7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91071" y="1209264"/>
          <a:ext cx="1241070" cy="2840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715781</xdr:colOff>
      <xdr:row>78</xdr:row>
      <xdr:rowOff>97714</xdr:rowOff>
    </xdr:from>
    <xdr:to>
      <xdr:col>2</xdr:col>
      <xdr:colOff>605714</xdr:colOff>
      <xdr:row>82</xdr:row>
      <xdr:rowOff>34214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E6B7924D-4A68-BA4D-81BD-A494E8F2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781" y="15947314"/>
          <a:ext cx="1549400" cy="7493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28</xdr:row>
      <xdr:rowOff>176661</xdr:rowOff>
    </xdr:from>
    <xdr:to>
      <xdr:col>2</xdr:col>
      <xdr:colOff>690880</xdr:colOff>
      <xdr:row>30</xdr:row>
      <xdr:rowOff>75061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2DCA2A45-A8AF-0544-B847-6A734D518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5866261"/>
          <a:ext cx="224028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37</xdr:row>
      <xdr:rowOff>132080</xdr:rowOff>
    </xdr:from>
    <xdr:to>
      <xdr:col>2</xdr:col>
      <xdr:colOff>746760</xdr:colOff>
      <xdr:row>40</xdr:row>
      <xdr:rowOff>1851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8563FD9C-2467-3D4C-8B1B-DCB29BD77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" y="7650480"/>
          <a:ext cx="2113280" cy="46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34</xdr:row>
      <xdr:rowOff>20320</xdr:rowOff>
    </xdr:from>
    <xdr:to>
      <xdr:col>2</xdr:col>
      <xdr:colOff>528320</xdr:colOff>
      <xdr:row>37</xdr:row>
      <xdr:rowOff>46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1A68AD79-DED3-3444-889F-C2C20214B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980" y="6929120"/>
          <a:ext cx="1323340" cy="58932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43</xdr:row>
      <xdr:rowOff>10160</xdr:rowOff>
    </xdr:from>
    <xdr:to>
      <xdr:col>2</xdr:col>
      <xdr:colOff>551955</xdr:colOff>
      <xdr:row>47</xdr:row>
      <xdr:rowOff>71120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2351C0DE-32B6-C342-91C7-1675B709B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8747760"/>
          <a:ext cx="1623835" cy="873760"/>
        </a:xfrm>
        <a:prstGeom prst="rect">
          <a:avLst/>
        </a:prstGeom>
      </xdr:spPr>
    </xdr:pic>
    <xdr:clientData/>
  </xdr:twoCellAnchor>
  <xdr:twoCellAnchor editAs="oneCell">
    <xdr:from>
      <xdr:col>0</xdr:col>
      <xdr:colOff>508583</xdr:colOff>
      <xdr:row>88</xdr:row>
      <xdr:rowOff>160283</xdr:rowOff>
    </xdr:from>
    <xdr:to>
      <xdr:col>2</xdr:col>
      <xdr:colOff>558945</xdr:colOff>
      <xdr:row>90</xdr:row>
      <xdr:rowOff>172545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6B989210-15FA-1846-A200-5D0188228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583" y="18041883"/>
          <a:ext cx="1709829" cy="418662"/>
        </a:xfrm>
        <a:prstGeom prst="rect">
          <a:avLst/>
        </a:prstGeom>
      </xdr:spPr>
    </xdr:pic>
    <xdr:clientData/>
  </xdr:twoCellAnchor>
  <xdr:twoCellAnchor editAs="oneCell">
    <xdr:from>
      <xdr:col>0</xdr:col>
      <xdr:colOff>715781</xdr:colOff>
      <xdr:row>78</xdr:row>
      <xdr:rowOff>97714</xdr:rowOff>
    </xdr:from>
    <xdr:to>
      <xdr:col>2</xdr:col>
      <xdr:colOff>605714</xdr:colOff>
      <xdr:row>82</xdr:row>
      <xdr:rowOff>34214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610E57FE-B6B0-8940-8B7D-C3BC4CAA0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781" y="15947314"/>
          <a:ext cx="1540933" cy="7493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28</xdr:row>
      <xdr:rowOff>176661</xdr:rowOff>
    </xdr:from>
    <xdr:to>
      <xdr:col>2</xdr:col>
      <xdr:colOff>690880</xdr:colOff>
      <xdr:row>30</xdr:row>
      <xdr:rowOff>75061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611823C1-D039-F24C-8F41-E82B4436E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5866261"/>
          <a:ext cx="224028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284480</xdr:colOff>
      <xdr:row>37</xdr:row>
      <xdr:rowOff>132080</xdr:rowOff>
    </xdr:from>
    <xdr:to>
      <xdr:col>2</xdr:col>
      <xdr:colOff>746760</xdr:colOff>
      <xdr:row>40</xdr:row>
      <xdr:rowOff>1851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43E85289-8454-C147-B9B1-623C3CCDA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480" y="7650480"/>
          <a:ext cx="2113280" cy="46990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</xdr:colOff>
      <xdr:row>34</xdr:row>
      <xdr:rowOff>20320</xdr:rowOff>
    </xdr:from>
    <xdr:to>
      <xdr:col>2</xdr:col>
      <xdr:colOff>528320</xdr:colOff>
      <xdr:row>37</xdr:row>
      <xdr:rowOff>46</xdr:rowOff>
    </xdr:to>
    <xdr:pic>
      <xdr:nvPicPr>
        <xdr:cNvPr id="11" name="Billede 10">
          <a:extLst>
            <a:ext uri="{FF2B5EF4-FFF2-40B4-BE49-F238E27FC236}">
              <a16:creationId xmlns:a16="http://schemas.microsoft.com/office/drawing/2014/main" id="{C03A6719-69A2-484B-89D5-10C41A807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5980" y="6929120"/>
          <a:ext cx="1323340" cy="589326"/>
        </a:xfrm>
        <a:prstGeom prst="rect">
          <a:avLst/>
        </a:prstGeom>
      </xdr:spPr>
    </xdr:pic>
    <xdr:clientData/>
  </xdr:twoCellAnchor>
  <xdr:twoCellAnchor editAs="oneCell">
    <xdr:from>
      <xdr:col>0</xdr:col>
      <xdr:colOff>579120</xdr:colOff>
      <xdr:row>43</xdr:row>
      <xdr:rowOff>10160</xdr:rowOff>
    </xdr:from>
    <xdr:to>
      <xdr:col>2</xdr:col>
      <xdr:colOff>551955</xdr:colOff>
      <xdr:row>47</xdr:row>
      <xdr:rowOff>71120</xdr:rowOff>
    </xdr:to>
    <xdr:pic>
      <xdr:nvPicPr>
        <xdr:cNvPr id="12" name="Billede 11">
          <a:extLst>
            <a:ext uri="{FF2B5EF4-FFF2-40B4-BE49-F238E27FC236}">
              <a16:creationId xmlns:a16="http://schemas.microsoft.com/office/drawing/2014/main" id="{AE3CC43B-0300-D84F-8F73-CD56290FB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79120" y="8747760"/>
          <a:ext cx="1623835" cy="873760"/>
        </a:xfrm>
        <a:prstGeom prst="rect">
          <a:avLst/>
        </a:prstGeom>
      </xdr:spPr>
    </xdr:pic>
    <xdr:clientData/>
  </xdr:twoCellAnchor>
  <xdr:twoCellAnchor editAs="oneCell">
    <xdr:from>
      <xdr:col>0</xdr:col>
      <xdr:colOff>508583</xdr:colOff>
      <xdr:row>88</xdr:row>
      <xdr:rowOff>160283</xdr:rowOff>
    </xdr:from>
    <xdr:to>
      <xdr:col>2</xdr:col>
      <xdr:colOff>558945</xdr:colOff>
      <xdr:row>90</xdr:row>
      <xdr:rowOff>172545</xdr:rowOff>
    </xdr:to>
    <xdr:pic>
      <xdr:nvPicPr>
        <xdr:cNvPr id="13" name="Billede 12">
          <a:extLst>
            <a:ext uri="{FF2B5EF4-FFF2-40B4-BE49-F238E27FC236}">
              <a16:creationId xmlns:a16="http://schemas.microsoft.com/office/drawing/2014/main" id="{D2240FA0-DDDB-574A-82B0-A807B6232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8583" y="18041883"/>
          <a:ext cx="1701362" cy="418662"/>
        </a:xfrm>
        <a:prstGeom prst="rect">
          <a:avLst/>
        </a:prstGeom>
      </xdr:spPr>
    </xdr:pic>
    <xdr:clientData/>
  </xdr:twoCellAnchor>
  <xdr:twoCellAnchor editAs="oneCell">
    <xdr:from>
      <xdr:col>0</xdr:col>
      <xdr:colOff>444500</xdr:colOff>
      <xdr:row>7</xdr:row>
      <xdr:rowOff>45357</xdr:rowOff>
    </xdr:from>
    <xdr:to>
      <xdr:col>2</xdr:col>
      <xdr:colOff>334433</xdr:colOff>
      <xdr:row>10</xdr:row>
      <xdr:rowOff>181429</xdr:rowOff>
    </xdr:to>
    <xdr:pic>
      <xdr:nvPicPr>
        <xdr:cNvPr id="14" name="Billede 13">
          <a:extLst>
            <a:ext uri="{FF2B5EF4-FFF2-40B4-BE49-F238E27FC236}">
              <a16:creationId xmlns:a16="http://schemas.microsoft.com/office/drawing/2014/main" id="{4B3B4A73-C512-A142-A9B7-22CEE0A67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0" y="1467757"/>
          <a:ext cx="1540933" cy="745672"/>
        </a:xfrm>
        <a:prstGeom prst="rect">
          <a:avLst/>
        </a:prstGeom>
      </xdr:spPr>
    </xdr:pic>
    <xdr:clientData/>
  </xdr:twoCellAnchor>
  <xdr:twoCellAnchor editAs="oneCell">
    <xdr:from>
      <xdr:col>33</xdr:col>
      <xdr:colOff>312280</xdr:colOff>
      <xdr:row>5</xdr:row>
      <xdr:rowOff>162561</xdr:rowOff>
    </xdr:from>
    <xdr:to>
      <xdr:col>34</xdr:col>
      <xdr:colOff>729943</xdr:colOff>
      <xdr:row>7</xdr:row>
      <xdr:rowOff>27913</xdr:rowOff>
    </xdr:to>
    <xdr:pic>
      <xdr:nvPicPr>
        <xdr:cNvPr id="16" name="Billede 15">
          <a:extLst>
            <a:ext uri="{FF2B5EF4-FFF2-40B4-BE49-F238E27FC236}">
              <a16:creationId xmlns:a16="http://schemas.microsoft.com/office/drawing/2014/main" id="{25B3FE99-9085-4B46-B386-9A997141B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251780" y="1178561"/>
          <a:ext cx="1243163" cy="2717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284480</xdr:colOff>
      <xdr:row>17</xdr:row>
      <xdr:rowOff>142241</xdr:rowOff>
    </xdr:from>
    <xdr:to>
      <xdr:col>1</xdr:col>
      <xdr:colOff>558386</xdr:colOff>
      <xdr:row>20</xdr:row>
      <xdr:rowOff>1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76415522-7ED9-24BF-19FB-7414C9667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480" y="3596641"/>
          <a:ext cx="1096866" cy="467360"/>
        </a:xfrm>
        <a:prstGeom prst="rect">
          <a:avLst/>
        </a:prstGeom>
      </xdr:spPr>
    </xdr:pic>
    <xdr:clientData/>
  </xdr:twoCellAnchor>
  <xdr:twoCellAnchor editAs="oneCell">
    <xdr:from>
      <xdr:col>0</xdr:col>
      <xdr:colOff>223520</xdr:colOff>
      <xdr:row>20</xdr:row>
      <xdr:rowOff>40640</xdr:rowOff>
    </xdr:from>
    <xdr:to>
      <xdr:col>1</xdr:col>
      <xdr:colOff>518160</xdr:colOff>
      <xdr:row>22</xdr:row>
      <xdr:rowOff>70183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427D9A2E-4DB9-5DAC-7903-65DF6C8B1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520" y="4104640"/>
          <a:ext cx="1117600" cy="435943"/>
        </a:xfrm>
        <a:prstGeom prst="rect">
          <a:avLst/>
        </a:prstGeom>
      </xdr:spPr>
    </xdr:pic>
    <xdr:clientData/>
  </xdr:twoCellAnchor>
  <xdr:twoCellAnchor editAs="oneCell">
    <xdr:from>
      <xdr:col>0</xdr:col>
      <xdr:colOff>162561</xdr:colOff>
      <xdr:row>22</xdr:row>
      <xdr:rowOff>111760</xdr:rowOff>
    </xdr:from>
    <xdr:to>
      <xdr:col>1</xdr:col>
      <xdr:colOff>479247</xdr:colOff>
      <xdr:row>24</xdr:row>
      <xdr:rowOff>121920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8534979B-7958-33FF-B58C-25CC1E2C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561" y="4582160"/>
          <a:ext cx="1139646" cy="416560"/>
        </a:xfrm>
        <a:prstGeom prst="rect">
          <a:avLst/>
        </a:prstGeom>
      </xdr:spPr>
    </xdr:pic>
    <xdr:clientData/>
  </xdr:twoCellAnchor>
  <xdr:twoCellAnchor editAs="oneCell">
    <xdr:from>
      <xdr:col>4</xdr:col>
      <xdr:colOff>680720</xdr:colOff>
      <xdr:row>16</xdr:row>
      <xdr:rowOff>50800</xdr:rowOff>
    </xdr:from>
    <xdr:to>
      <xdr:col>6</xdr:col>
      <xdr:colOff>731520</xdr:colOff>
      <xdr:row>17</xdr:row>
      <xdr:rowOff>130387</xdr:rowOff>
    </xdr:to>
    <xdr:pic>
      <xdr:nvPicPr>
        <xdr:cNvPr id="9" name="Billede 8">
          <a:extLst>
            <a:ext uri="{FF2B5EF4-FFF2-40B4-BE49-F238E27FC236}">
              <a16:creationId xmlns:a16="http://schemas.microsoft.com/office/drawing/2014/main" id="{53664EEE-BEA5-BDA4-4F06-1A4C3201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72560" y="3302000"/>
          <a:ext cx="1696720" cy="28278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762000</xdr:colOff>
      <xdr:row>18</xdr:row>
      <xdr:rowOff>20320</xdr:rowOff>
    </xdr:from>
    <xdr:to>
      <xdr:col>6</xdr:col>
      <xdr:colOff>621211</xdr:colOff>
      <xdr:row>20</xdr:row>
      <xdr:rowOff>132080</xdr:rowOff>
    </xdr:to>
    <xdr:pic>
      <xdr:nvPicPr>
        <xdr:cNvPr id="10" name="Billede 9">
          <a:extLst>
            <a:ext uri="{FF2B5EF4-FFF2-40B4-BE49-F238E27FC236}">
              <a16:creationId xmlns:a16="http://schemas.microsoft.com/office/drawing/2014/main" id="{3285114C-AFB0-3F7D-24FB-64439ADD4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53840" y="3677920"/>
          <a:ext cx="1505131" cy="518160"/>
        </a:xfrm>
        <a:prstGeom prst="rect">
          <a:avLst/>
        </a:prstGeom>
      </xdr:spPr>
    </xdr:pic>
    <xdr:clientData/>
  </xdr:twoCellAnchor>
  <xdr:twoCellAnchor editAs="oneCell">
    <xdr:from>
      <xdr:col>13</xdr:col>
      <xdr:colOff>231073</xdr:colOff>
      <xdr:row>28</xdr:row>
      <xdr:rowOff>11688</xdr:rowOff>
    </xdr:from>
    <xdr:to>
      <xdr:col>14</xdr:col>
      <xdr:colOff>764338</xdr:colOff>
      <xdr:row>29</xdr:row>
      <xdr:rowOff>110819</xdr:rowOff>
    </xdr:to>
    <xdr:pic>
      <xdr:nvPicPr>
        <xdr:cNvPr id="16" name="Billede 15">
          <a:extLst>
            <a:ext uri="{FF2B5EF4-FFF2-40B4-BE49-F238E27FC236}">
              <a16:creationId xmlns:a16="http://schemas.microsoft.com/office/drawing/2014/main" id="{1C74B359-800A-8AF3-07DF-FBE26D11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96825" y="5676113"/>
          <a:ext cx="2016805" cy="301432"/>
        </a:xfrm>
        <a:prstGeom prst="rect">
          <a:avLst/>
        </a:prstGeom>
      </xdr:spPr>
    </xdr:pic>
    <xdr:clientData/>
  </xdr:twoCellAnchor>
  <xdr:twoCellAnchor editAs="oneCell">
    <xdr:from>
      <xdr:col>19</xdr:col>
      <xdr:colOff>132080</xdr:colOff>
      <xdr:row>2</xdr:row>
      <xdr:rowOff>132080</xdr:rowOff>
    </xdr:from>
    <xdr:to>
      <xdr:col>20</xdr:col>
      <xdr:colOff>715645</xdr:colOff>
      <xdr:row>4</xdr:row>
      <xdr:rowOff>71120</xdr:rowOff>
    </xdr:to>
    <xdr:pic>
      <xdr:nvPicPr>
        <xdr:cNvPr id="17" name="Billede 16">
          <a:extLst>
            <a:ext uri="{FF2B5EF4-FFF2-40B4-BE49-F238E27FC236}">
              <a16:creationId xmlns:a16="http://schemas.microsoft.com/office/drawing/2014/main" id="{8463E32F-D8C4-2927-BE5E-A921C4C6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404080" y="538480"/>
          <a:ext cx="1457325" cy="345440"/>
        </a:xfrm>
        <a:prstGeom prst="rect">
          <a:avLst/>
        </a:prstGeom>
      </xdr:spPr>
    </xdr:pic>
    <xdr:clientData/>
  </xdr:twoCellAnchor>
  <xdr:twoCellAnchor editAs="oneCell">
    <xdr:from>
      <xdr:col>0</xdr:col>
      <xdr:colOff>390712</xdr:colOff>
      <xdr:row>37</xdr:row>
      <xdr:rowOff>56029</xdr:rowOff>
    </xdr:from>
    <xdr:to>
      <xdr:col>1</xdr:col>
      <xdr:colOff>512632</xdr:colOff>
      <xdr:row>38</xdr:row>
      <xdr:rowOff>157630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A590F12C-C6DF-FAAC-B07B-73872311D6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4185" b="14880"/>
        <a:stretch/>
      </xdr:blipFill>
      <xdr:spPr>
        <a:xfrm>
          <a:off x="390712" y="7657353"/>
          <a:ext cx="943685" cy="307042"/>
        </a:xfrm>
        <a:prstGeom prst="rect">
          <a:avLst/>
        </a:prstGeom>
      </xdr:spPr>
    </xdr:pic>
    <xdr:clientData/>
  </xdr:twoCellAnchor>
  <xdr:twoCellAnchor editAs="oneCell">
    <xdr:from>
      <xdr:col>2</xdr:col>
      <xdr:colOff>383910</xdr:colOff>
      <xdr:row>37</xdr:row>
      <xdr:rowOff>65404</xdr:rowOff>
    </xdr:from>
    <xdr:to>
      <xdr:col>6</xdr:col>
      <xdr:colOff>431801</xdr:colOff>
      <xdr:row>39</xdr:row>
      <xdr:rowOff>15896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5D66A5CC-BCDB-6946-A9E4-8E83AB645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2511" t="9208" r="3920" b="8686"/>
        <a:stretch/>
      </xdr:blipFill>
      <xdr:spPr>
        <a:xfrm>
          <a:off x="2043377" y="7583804"/>
          <a:ext cx="3366824" cy="356892"/>
        </a:xfrm>
        <a:prstGeom prst="rect">
          <a:avLst/>
        </a:prstGeom>
      </xdr:spPr>
    </xdr:pic>
    <xdr:clientData/>
  </xdr:twoCellAnchor>
  <xdr:twoCellAnchor editAs="oneCell">
    <xdr:from>
      <xdr:col>0</xdr:col>
      <xdr:colOff>71120</xdr:colOff>
      <xdr:row>25</xdr:row>
      <xdr:rowOff>121920</xdr:rowOff>
    </xdr:from>
    <xdr:to>
      <xdr:col>1</xdr:col>
      <xdr:colOff>690880</xdr:colOff>
      <xdr:row>28</xdr:row>
      <xdr:rowOff>20819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8EE03DAF-B66E-944A-95DB-640DE908A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120" y="5201920"/>
          <a:ext cx="1442720" cy="5084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114248</xdr:colOff>
      <xdr:row>19</xdr:row>
      <xdr:rowOff>201241</xdr:rowOff>
    </xdr:from>
    <xdr:to>
      <xdr:col>7</xdr:col>
      <xdr:colOff>640336</xdr:colOff>
      <xdr:row>21</xdr:row>
      <xdr:rowOff>192397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C146A361-9469-D0CC-AB0D-0E343BC6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4836" y="4053930"/>
          <a:ext cx="1454576" cy="396702"/>
        </a:xfrm>
        <a:prstGeom prst="rect">
          <a:avLst/>
        </a:prstGeom>
      </xdr:spPr>
    </xdr:pic>
    <xdr:clientData/>
  </xdr:twoCellAnchor>
  <xdr:twoCellAnchor editAs="oneCell">
    <xdr:from>
      <xdr:col>0</xdr:col>
      <xdr:colOff>36546</xdr:colOff>
      <xdr:row>17</xdr:row>
      <xdr:rowOff>27411</xdr:rowOff>
    </xdr:from>
    <xdr:to>
      <xdr:col>1</xdr:col>
      <xdr:colOff>794892</xdr:colOff>
      <xdr:row>18</xdr:row>
      <xdr:rowOff>173598</xdr:rowOff>
    </xdr:to>
    <xdr:pic>
      <xdr:nvPicPr>
        <xdr:cNvPr id="5" name="Billede 4">
          <a:extLst>
            <a:ext uri="{FF2B5EF4-FFF2-40B4-BE49-F238E27FC236}">
              <a16:creationId xmlns:a16="http://schemas.microsoft.com/office/drawing/2014/main" id="{3BF2097D-7FDE-E84D-4C1E-7F4E86C5B2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7765" r="61641" b="-2152"/>
        <a:stretch/>
      </xdr:blipFill>
      <xdr:spPr>
        <a:xfrm>
          <a:off x="36546" y="3444533"/>
          <a:ext cx="1580648" cy="347194"/>
        </a:xfrm>
        <a:prstGeom prst="rect">
          <a:avLst/>
        </a:prstGeom>
      </xdr:spPr>
    </xdr:pic>
    <xdr:clientData/>
  </xdr:twoCellAnchor>
  <xdr:twoCellAnchor editAs="oneCell">
    <xdr:from>
      <xdr:col>12</xdr:col>
      <xdr:colOff>300128</xdr:colOff>
      <xdr:row>11</xdr:row>
      <xdr:rowOff>92202</xdr:rowOff>
    </xdr:from>
    <xdr:to>
      <xdr:col>13</xdr:col>
      <xdr:colOff>597647</xdr:colOff>
      <xdr:row>14</xdr:row>
      <xdr:rowOff>31789</xdr:rowOff>
    </xdr:to>
    <xdr:pic>
      <xdr:nvPicPr>
        <xdr:cNvPr id="7" name="Billede 6">
          <a:extLst>
            <a:ext uri="{FF2B5EF4-FFF2-40B4-BE49-F238E27FC236}">
              <a16:creationId xmlns:a16="http://schemas.microsoft.com/office/drawing/2014/main" id="{576FF29F-AC61-8258-6E0F-22DFC9F75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66851" y="2322706"/>
          <a:ext cx="1119283" cy="547907"/>
        </a:xfrm>
        <a:prstGeom prst="rect">
          <a:avLst/>
        </a:prstGeom>
      </xdr:spPr>
    </xdr:pic>
    <xdr:clientData/>
  </xdr:twoCellAnchor>
  <xdr:twoCellAnchor editAs="oneCell">
    <xdr:from>
      <xdr:col>7</xdr:col>
      <xdr:colOff>160084</xdr:colOff>
      <xdr:row>33</xdr:row>
      <xdr:rowOff>64033</xdr:rowOff>
    </xdr:from>
    <xdr:to>
      <xdr:col>8</xdr:col>
      <xdr:colOff>864453</xdr:colOff>
      <xdr:row>36</xdr:row>
      <xdr:rowOff>97805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701214F8-7ACA-825A-360F-699E3306A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9160" y="6755546"/>
          <a:ext cx="1654201" cy="6420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133444</xdr:colOff>
      <xdr:row>11</xdr:row>
      <xdr:rowOff>84667</xdr:rowOff>
    </xdr:from>
    <xdr:to>
      <xdr:col>4</xdr:col>
      <xdr:colOff>398237</xdr:colOff>
      <xdr:row>14</xdr:row>
      <xdr:rowOff>50801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F1E441BB-DF62-1AC7-6F61-0DDD9328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489" y="2273995"/>
          <a:ext cx="1089346" cy="563224"/>
        </a:xfrm>
        <a:prstGeom prst="rect">
          <a:avLst/>
        </a:prstGeom>
      </xdr:spPr>
    </xdr:pic>
    <xdr:clientData/>
  </xdr:twoCellAnchor>
  <xdr:twoCellAnchor editAs="oneCell">
    <xdr:from>
      <xdr:col>13</xdr:col>
      <xdr:colOff>247592</xdr:colOff>
      <xdr:row>2</xdr:row>
      <xdr:rowOff>74508</xdr:rowOff>
    </xdr:from>
    <xdr:to>
      <xdr:col>16</xdr:col>
      <xdr:colOff>508687</xdr:colOff>
      <xdr:row>5</xdr:row>
      <xdr:rowOff>160981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34C27612-6801-819A-8E51-48D9D4E2E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3988" y="486400"/>
          <a:ext cx="3202003" cy="704311"/>
        </a:xfrm>
        <a:prstGeom prst="rect">
          <a:avLst/>
        </a:prstGeom>
      </xdr:spPr>
    </xdr:pic>
    <xdr:clientData/>
  </xdr:twoCellAnchor>
  <xdr:twoCellAnchor editAs="oneCell">
    <xdr:from>
      <xdr:col>13</xdr:col>
      <xdr:colOff>276425</xdr:colOff>
      <xdr:row>6</xdr:row>
      <xdr:rowOff>58351</xdr:rowOff>
    </xdr:from>
    <xdr:to>
      <xdr:col>15</xdr:col>
      <xdr:colOff>129402</xdr:colOff>
      <xdr:row>8</xdr:row>
      <xdr:rowOff>163470</xdr:rowOff>
    </xdr:to>
    <xdr:pic>
      <xdr:nvPicPr>
        <xdr:cNvPr id="6" name="Billede 5">
          <a:extLst>
            <a:ext uri="{FF2B5EF4-FFF2-40B4-BE49-F238E27FC236}">
              <a16:creationId xmlns:a16="http://schemas.microsoft.com/office/drawing/2014/main" id="{869C0384-32D9-8B2F-CCC5-6C527804A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2821" y="1294027"/>
          <a:ext cx="1971817" cy="517011"/>
        </a:xfrm>
        <a:prstGeom prst="rect">
          <a:avLst/>
        </a:prstGeom>
      </xdr:spPr>
    </xdr:pic>
    <xdr:clientData/>
  </xdr:twoCellAnchor>
  <xdr:twoCellAnchor editAs="oneCell">
    <xdr:from>
      <xdr:col>13</xdr:col>
      <xdr:colOff>230659</xdr:colOff>
      <xdr:row>9</xdr:row>
      <xdr:rowOff>65638</xdr:rowOff>
    </xdr:from>
    <xdr:to>
      <xdr:col>16</xdr:col>
      <xdr:colOff>468642</xdr:colOff>
      <xdr:row>13</xdr:row>
      <xdr:rowOff>191</xdr:rowOff>
    </xdr:to>
    <xdr:pic>
      <xdr:nvPicPr>
        <xdr:cNvPr id="8" name="Billede 7">
          <a:extLst>
            <a:ext uri="{FF2B5EF4-FFF2-40B4-BE49-F238E27FC236}">
              <a16:creationId xmlns:a16="http://schemas.microsoft.com/office/drawing/2014/main" id="{ECFE1660-45F4-7C13-9DC1-0F51BFF9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7055" y="1919152"/>
          <a:ext cx="3178891" cy="75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D0D1-2DAE-0040-A1DD-F7EDFB5EAB33}">
  <dimension ref="D1:R49"/>
  <sheetViews>
    <sheetView topLeftCell="C1" zoomScale="124" workbookViewId="0">
      <selection activeCell="I15" sqref="I15"/>
    </sheetView>
  </sheetViews>
  <sheetFormatPr baseColWidth="10" defaultRowHeight="16" x14ac:dyDescent="0.2"/>
  <cols>
    <col min="1" max="1" width="10.83203125" customWidth="1"/>
    <col min="3" max="3" width="11.1640625" customWidth="1"/>
    <col min="6" max="6" width="23.5" bestFit="1" customWidth="1"/>
  </cols>
  <sheetData>
    <row r="1" spans="4:18" x14ac:dyDescent="0.2">
      <c r="F1" s="2" t="s">
        <v>10</v>
      </c>
      <c r="G1" s="3"/>
      <c r="H1" s="3"/>
      <c r="I1" s="3"/>
      <c r="J1" s="3"/>
      <c r="K1" s="4"/>
    </row>
    <row r="2" spans="4:18" x14ac:dyDescent="0.2">
      <c r="F2" s="2" t="s">
        <v>0</v>
      </c>
      <c r="G2" s="4"/>
      <c r="K2" s="6"/>
    </row>
    <row r="3" spans="4:18" x14ac:dyDescent="0.2">
      <c r="F3" s="5" t="s">
        <v>4</v>
      </c>
      <c r="G3" s="18">
        <v>70</v>
      </c>
      <c r="K3" s="6"/>
    </row>
    <row r="4" spans="4:18" x14ac:dyDescent="0.2">
      <c r="F4" s="5" t="s">
        <v>5</v>
      </c>
      <c r="G4" s="18">
        <v>1.1000000000000001</v>
      </c>
      <c r="K4" s="6"/>
    </row>
    <row r="5" spans="4:18" x14ac:dyDescent="0.2">
      <c r="F5" s="5" t="s">
        <v>6</v>
      </c>
      <c r="G5" s="18">
        <v>0.95</v>
      </c>
      <c r="K5" s="6"/>
    </row>
    <row r="6" spans="4:18" x14ac:dyDescent="0.2">
      <c r="F6" s="8" t="s">
        <v>7</v>
      </c>
      <c r="G6" s="38">
        <v>50</v>
      </c>
      <c r="K6" s="6"/>
    </row>
    <row r="7" spans="4:18" x14ac:dyDescent="0.2">
      <c r="F7" s="5" t="s">
        <v>8</v>
      </c>
      <c r="G7" s="18">
        <v>0.33333299999999999</v>
      </c>
      <c r="K7" s="6"/>
    </row>
    <row r="8" spans="4:18" x14ac:dyDescent="0.2">
      <c r="F8" s="13" t="s">
        <v>9</v>
      </c>
      <c r="G8" s="36">
        <v>0</v>
      </c>
      <c r="K8" s="6"/>
      <c r="M8" t="s">
        <v>135</v>
      </c>
    </row>
    <row r="9" spans="4:18" x14ac:dyDescent="0.2">
      <c r="D9" s="1"/>
      <c r="E9" s="1"/>
      <c r="F9" s="5"/>
      <c r="K9" s="6"/>
      <c r="M9" s="2" t="s">
        <v>108</v>
      </c>
      <c r="N9" s="3"/>
      <c r="O9" s="3"/>
      <c r="P9" s="3"/>
      <c r="Q9" s="3"/>
      <c r="R9" s="4"/>
    </row>
    <row r="10" spans="4:18" x14ac:dyDescent="0.2">
      <c r="F10" s="9" t="s">
        <v>3</v>
      </c>
      <c r="G10" s="10">
        <v>0</v>
      </c>
      <c r="H10" s="11">
        <v>0.25</v>
      </c>
      <c r="I10" s="11">
        <v>0.5</v>
      </c>
      <c r="J10" s="11">
        <v>0.75</v>
      </c>
      <c r="K10" s="12">
        <v>1</v>
      </c>
      <c r="M10" s="9" t="s">
        <v>3</v>
      </c>
      <c r="N10" s="10">
        <v>0</v>
      </c>
      <c r="O10" s="11">
        <v>0.25</v>
      </c>
      <c r="P10" s="11">
        <v>0.5</v>
      </c>
      <c r="Q10" s="11">
        <v>0.75</v>
      </c>
      <c r="R10" s="12">
        <v>1</v>
      </c>
    </row>
    <row r="11" spans="4:18" x14ac:dyDescent="0.2">
      <c r="F11" s="5"/>
      <c r="K11" s="6">
        <f>MAX($G$3-($G$4^4)*$G$6,0)</f>
        <v>0</v>
      </c>
      <c r="M11" s="5"/>
      <c r="R11" s="6">
        <f t="shared" ref="Q11:R14" si="0">Q12*$G$4</f>
        <v>73.205000000000041</v>
      </c>
    </row>
    <row r="12" spans="4:18" x14ac:dyDescent="0.2">
      <c r="F12" s="5"/>
      <c r="J12">
        <f>MAX($G$3-($G$4^3)*$G$6,0,(1/(1+$G$8))*($G$7*K11+(1-$G$7)*K12))</f>
        <v>4.5183355924999882</v>
      </c>
      <c r="K12" s="6">
        <f>MAX($G$3-($G$4^3)*($G$5)*$G$6,0)</f>
        <v>6.7774999999999821</v>
      </c>
      <c r="M12" s="5"/>
      <c r="Q12">
        <f t="shared" si="0"/>
        <v>66.550000000000026</v>
      </c>
      <c r="R12" s="6">
        <f t="shared" si="0"/>
        <v>63.222500000000025</v>
      </c>
    </row>
    <row r="13" spans="4:18" x14ac:dyDescent="0.2">
      <c r="F13" s="5"/>
      <c r="I13">
        <f>MAX($G$3-($G$4^2)*$G$6,0,(1/(1+$G$8))*($G$7*J12+(1-$G$7)*J13))</f>
        <v>9.856116448889086</v>
      </c>
      <c r="J13">
        <f>MAX($G$3-($G$4^2)*($G$5)*$G$6,0,(1/(1+$G$8))*($G$7*K12+(1-$G$7)*K13))</f>
        <v>12.525002873749994</v>
      </c>
      <c r="K13" s="6">
        <f>MAX($G$3-($G$4^2)*($G$5^2)*$G$6,0)</f>
        <v>15.39875</v>
      </c>
      <c r="M13" s="5"/>
      <c r="P13">
        <f>O14*$G$4</f>
        <v>60.500000000000014</v>
      </c>
      <c r="Q13">
        <f t="shared" si="0"/>
        <v>57.475000000000016</v>
      </c>
      <c r="R13" s="6">
        <f>Q14*$G$4</f>
        <v>54.601250000000007</v>
      </c>
    </row>
    <row r="14" spans="4:18" x14ac:dyDescent="0.2">
      <c r="F14" s="5"/>
      <c r="H14">
        <f>MAX($G$3-($G$4)*$G$6,0,(1/(1+$G$8))*($G$7*I13+(1-$G$7)*I14))</f>
        <v>15.118711597592535</v>
      </c>
      <c r="I14">
        <f>MAX($G$3-($G$4)*($G$5)*$G$6,0,(1/(1+$G$8))*($G$7*J13+(1-$G$7)*J14))</f>
        <v>17.750005224999871</v>
      </c>
      <c r="J14">
        <f>MAX($G$3-($G$4)*($G$5^2)*$G$6,0,(1/(1+$G$8))*($G$7*K13+(1-$G$7)*K14))</f>
        <v>20.362502481875005</v>
      </c>
      <c r="K14" s="6">
        <f>MAX($G$3-($G$4^1)*($G$5^3)*$G$6,0)</f>
        <v>22.844375000000007</v>
      </c>
      <c r="M14" s="5"/>
      <c r="O14">
        <f>N15*$G$4</f>
        <v>55.000000000000007</v>
      </c>
      <c r="P14">
        <f>O15*$G$4</f>
        <v>52.250000000000007</v>
      </c>
      <c r="Q14">
        <f t="shared" si="0"/>
        <v>49.637500000000003</v>
      </c>
      <c r="R14" s="6">
        <f t="shared" si="0"/>
        <v>47.155625000000001</v>
      </c>
    </row>
    <row r="15" spans="4:18" x14ac:dyDescent="0.2">
      <c r="F15" s="13"/>
      <c r="G15" s="14">
        <f>(1/(1+$G$8))*($G$7*H14+(1-$G$7)*H15)</f>
        <v>20.03957774296245</v>
      </c>
      <c r="H15" s="14">
        <f>MAX($G$3-($G$5)*$G$6,0,(1/(1+$G$8))*($G$7*I14+(1-$G$7)*I15))</f>
        <v>22.500007124999648</v>
      </c>
      <c r="I15" s="14">
        <f>MAX($G$3-($G$4^0)*($G$5^2)*$G$6,0,(1/(1+$G$8))*($G$7*J14+(1-$G$7)*J15))</f>
        <v>24.875004512499888</v>
      </c>
      <c r="J15" s="14">
        <f>MAX($G$3-($G$4^0)*($G$5^3)*$G$6,0,(1/(1+$G$8))*($G$7*K14+(1-$G$7)*K15))</f>
        <v>27.131252143437504</v>
      </c>
      <c r="K15" s="15">
        <f>MAX($G$3-($G$5^4)*$G$6,0)</f>
        <v>29.274687499999999</v>
      </c>
      <c r="M15" s="13"/>
      <c r="N15" s="42">
        <f>G6</f>
        <v>50</v>
      </c>
      <c r="O15" s="14">
        <f>N15*$G$5</f>
        <v>47.5</v>
      </c>
      <c r="P15" s="14">
        <f t="shared" ref="P15:R15" si="1">O15*$G$5</f>
        <v>45.125</v>
      </c>
      <c r="Q15" s="14">
        <f t="shared" si="1"/>
        <v>42.868749999999999</v>
      </c>
      <c r="R15" s="15">
        <f t="shared" si="1"/>
        <v>40.725312499999994</v>
      </c>
    </row>
    <row r="19" spans="6:16" x14ac:dyDescent="0.2">
      <c r="F19" s="2" t="s">
        <v>11</v>
      </c>
      <c r="G19" s="3"/>
      <c r="H19" s="3"/>
      <c r="I19" s="3"/>
      <c r="J19" s="4"/>
    </row>
    <row r="20" spans="6:16" x14ac:dyDescent="0.2">
      <c r="F20" s="2" t="s">
        <v>0</v>
      </c>
      <c r="G20" s="4"/>
      <c r="J20" s="6"/>
    </row>
    <row r="21" spans="6:16" x14ac:dyDescent="0.2">
      <c r="F21" s="5" t="s">
        <v>4</v>
      </c>
      <c r="G21" s="18">
        <v>70</v>
      </c>
      <c r="J21" s="6"/>
    </row>
    <row r="22" spans="6:16" x14ac:dyDescent="0.2">
      <c r="F22" s="5" t="s">
        <v>5</v>
      </c>
      <c r="G22" s="18">
        <v>1.1000000000000001</v>
      </c>
      <c r="J22" s="6"/>
    </row>
    <row r="23" spans="6:16" x14ac:dyDescent="0.2">
      <c r="F23" s="5" t="s">
        <v>6</v>
      </c>
      <c r="G23" s="18">
        <v>0.95</v>
      </c>
      <c r="J23" s="6"/>
    </row>
    <row r="24" spans="6:16" x14ac:dyDescent="0.2">
      <c r="F24" s="8" t="s">
        <v>7</v>
      </c>
      <c r="G24" s="38">
        <v>50</v>
      </c>
      <c r="J24" s="6"/>
    </row>
    <row r="25" spans="6:16" x14ac:dyDescent="0.2">
      <c r="F25" s="5" t="s">
        <v>8</v>
      </c>
      <c r="G25" s="18">
        <v>0.33333299999999999</v>
      </c>
      <c r="J25" s="6"/>
    </row>
    <row r="26" spans="6:16" x14ac:dyDescent="0.2">
      <c r="F26" s="13" t="s">
        <v>9</v>
      </c>
      <c r="G26" s="36">
        <v>0</v>
      </c>
      <c r="J26" s="6"/>
      <c r="L26" t="s">
        <v>135</v>
      </c>
    </row>
    <row r="27" spans="6:16" x14ac:dyDescent="0.2">
      <c r="F27" s="5"/>
      <c r="J27" s="6"/>
      <c r="L27" s="2" t="s">
        <v>108</v>
      </c>
      <c r="M27" s="3"/>
      <c r="N27" s="3"/>
      <c r="O27" s="3"/>
      <c r="P27" s="4"/>
    </row>
    <row r="28" spans="6:16" x14ac:dyDescent="0.2">
      <c r="F28" s="9" t="s">
        <v>3</v>
      </c>
      <c r="G28" s="10">
        <v>0</v>
      </c>
      <c r="H28" s="11">
        <v>1</v>
      </c>
      <c r="I28" s="11">
        <v>2</v>
      </c>
      <c r="J28" s="12">
        <v>3</v>
      </c>
      <c r="K28" s="1"/>
      <c r="L28" s="9" t="s">
        <v>3</v>
      </c>
      <c r="M28" s="10">
        <v>0</v>
      </c>
      <c r="N28" s="11">
        <v>1</v>
      </c>
      <c r="O28" s="11">
        <v>2</v>
      </c>
      <c r="P28" s="12">
        <v>3</v>
      </c>
    </row>
    <row r="29" spans="6:16" x14ac:dyDescent="0.2">
      <c r="F29" s="5"/>
      <c r="J29" s="6"/>
      <c r="L29" s="5"/>
      <c r="P29" s="6"/>
    </row>
    <row r="30" spans="6:16" x14ac:dyDescent="0.2">
      <c r="F30" s="5"/>
      <c r="J30" s="6">
        <f>MAX($G$21-($G$22^3)*$G$24,0)</f>
        <v>3.4499999999999744</v>
      </c>
      <c r="L30" s="5"/>
      <c r="P30" s="6">
        <f>O31*$G$22</f>
        <v>66.550000000000026</v>
      </c>
    </row>
    <row r="31" spans="6:16" x14ac:dyDescent="0.2">
      <c r="F31" s="5"/>
      <c r="I31">
        <f>MAX($G$21-($G$22^2)*$G$24,0,(1/(1+$G$26))*($G$25*J30+(1-$G$25)*J31))</f>
        <v>9.5000030249999874</v>
      </c>
      <c r="J31" s="6">
        <f>MAX($G$21-($G$22^2)*($G$23^1)*$G$24,0)</f>
        <v>12.524999999999991</v>
      </c>
      <c r="L31" s="5"/>
      <c r="O31">
        <f t="shared" ref="O31:P32" si="2">N32*$G$22</f>
        <v>60.500000000000014</v>
      </c>
      <c r="P31" s="6">
        <f t="shared" si="2"/>
        <v>57.475000000000016</v>
      </c>
    </row>
    <row r="32" spans="6:16" x14ac:dyDescent="0.2">
      <c r="F32" s="5"/>
      <c r="H32">
        <f>MAX($G$21-($G$22)*$G$24,0,(1/(1+$G$26))*($G$25*I31+(1-$G$25)*I32))</f>
        <v>15.000005499999855</v>
      </c>
      <c r="I32">
        <f>MAX($G$21-($G$22)*($G$23)*$G$24,0,(1/(1+$G$26))*($G$25*J31+(1-$G$25)*J32))</f>
        <v>17.750002612499994</v>
      </c>
      <c r="J32" s="6">
        <f>MAX($G$21-($G$22^1)*($G$23^2)*$G$24,0)</f>
        <v>20.362499999999997</v>
      </c>
      <c r="L32" s="5"/>
      <c r="N32">
        <f>M33*$G$22</f>
        <v>55.000000000000007</v>
      </c>
      <c r="O32">
        <f t="shared" si="2"/>
        <v>52.250000000000007</v>
      </c>
      <c r="P32" s="6">
        <f t="shared" si="2"/>
        <v>49.637500000000003</v>
      </c>
    </row>
    <row r="33" spans="6:16" x14ac:dyDescent="0.2">
      <c r="F33" s="13"/>
      <c r="G33" s="14">
        <f>(1/(1+$G$26))*($G$25*H32+(1-$G$25)*H33)</f>
        <v>20.000007499999626</v>
      </c>
      <c r="H33" s="14">
        <f>MAX($G$21-($G$23)*$G$24,0,(1/(1+$G$26))*($G$25*I32+(1-$G$25)*I33))</f>
        <v>22.500004749999885</v>
      </c>
      <c r="I33" s="14">
        <f>MAX($G$21-($G$22^0)*($G$23^2)*$G$24,0,(1/(1+$G$26))*($G$25*J32+(1-$G$25)*J33))</f>
        <v>24.875002256250006</v>
      </c>
      <c r="J33" s="15">
        <f>MAX($G$21-($G$23^3)*$G$24,0)</f>
        <v>27.131250000000009</v>
      </c>
      <c r="L33" s="13"/>
      <c r="M33" s="42">
        <f>G24</f>
        <v>50</v>
      </c>
      <c r="N33" s="14">
        <f>M33*$G$23</f>
        <v>47.5</v>
      </c>
      <c r="O33" s="14">
        <f t="shared" ref="O33:P33" si="3">N33*$G$23</f>
        <v>45.125</v>
      </c>
      <c r="P33" s="15">
        <f t="shared" si="3"/>
        <v>42.868749999999999</v>
      </c>
    </row>
    <row r="37" spans="6:16" x14ac:dyDescent="0.2">
      <c r="F37" s="2" t="s">
        <v>12</v>
      </c>
      <c r="G37" s="3"/>
      <c r="H37" s="3"/>
      <c r="I37" s="4"/>
    </row>
    <row r="38" spans="6:16" x14ac:dyDescent="0.2">
      <c r="F38" s="2" t="s">
        <v>0</v>
      </c>
      <c r="G38" s="4"/>
      <c r="I38" s="6"/>
    </row>
    <row r="39" spans="6:16" x14ac:dyDescent="0.2">
      <c r="F39" s="5" t="s">
        <v>4</v>
      </c>
      <c r="G39" s="18">
        <v>70</v>
      </c>
      <c r="I39" s="6"/>
    </row>
    <row r="40" spans="6:16" x14ac:dyDescent="0.2">
      <c r="F40" s="5" t="s">
        <v>5</v>
      </c>
      <c r="G40" s="18">
        <v>1.1000000000000001</v>
      </c>
      <c r="I40" s="6"/>
    </row>
    <row r="41" spans="6:16" x14ac:dyDescent="0.2">
      <c r="F41" s="5" t="s">
        <v>6</v>
      </c>
      <c r="G41" s="18">
        <v>0.95</v>
      </c>
      <c r="I41" s="6"/>
    </row>
    <row r="42" spans="6:16" x14ac:dyDescent="0.2">
      <c r="F42" s="8" t="s">
        <v>7</v>
      </c>
      <c r="G42" s="38">
        <v>50</v>
      </c>
      <c r="I42" s="6"/>
    </row>
    <row r="43" spans="6:16" x14ac:dyDescent="0.2">
      <c r="F43" s="5" t="s">
        <v>8</v>
      </c>
      <c r="G43" s="18">
        <v>0.33333299999999999</v>
      </c>
      <c r="I43" s="6"/>
    </row>
    <row r="44" spans="6:16" x14ac:dyDescent="0.2">
      <c r="F44" s="13" t="s">
        <v>9</v>
      </c>
      <c r="G44" s="36">
        <v>0</v>
      </c>
      <c r="I44" s="6"/>
      <c r="K44" t="s">
        <v>135</v>
      </c>
    </row>
    <row r="45" spans="6:16" x14ac:dyDescent="0.2">
      <c r="F45" s="5"/>
      <c r="I45" s="6"/>
      <c r="K45" s="2" t="s">
        <v>108</v>
      </c>
      <c r="L45" s="3"/>
      <c r="M45" s="3"/>
      <c r="N45" s="4"/>
    </row>
    <row r="46" spans="6:16" x14ac:dyDescent="0.2">
      <c r="F46" s="9" t="s">
        <v>3</v>
      </c>
      <c r="G46" s="10">
        <v>0</v>
      </c>
      <c r="H46" s="11">
        <v>1</v>
      </c>
      <c r="I46" s="12">
        <v>2</v>
      </c>
      <c r="J46" s="1"/>
      <c r="K46" s="9" t="s">
        <v>3</v>
      </c>
      <c r="L46" s="10">
        <v>0</v>
      </c>
      <c r="M46" s="11">
        <v>1</v>
      </c>
      <c r="N46" s="12">
        <v>2</v>
      </c>
    </row>
    <row r="47" spans="6:16" x14ac:dyDescent="0.2">
      <c r="F47" s="5"/>
      <c r="I47" s="6">
        <f>MAX($G$39-($G$40^2)*$G$42,0)</f>
        <v>9.4999999999999929</v>
      </c>
      <c r="K47" s="5"/>
      <c r="N47" s="6">
        <f>M48*$G$40</f>
        <v>60.500000000000014</v>
      </c>
    </row>
    <row r="48" spans="6:16" x14ac:dyDescent="0.2">
      <c r="F48" s="5"/>
      <c r="H48">
        <f>MAX($G$39-($G$40)*$G$42,0,(1/(1+$G$44))*($G$43*I47+(1-$G$43)*I48))</f>
        <v>15.000002749999997</v>
      </c>
      <c r="I48" s="6">
        <f>MAX($G$39-($G$40^1)*($G$41^1)*$G$42,0)</f>
        <v>17.75</v>
      </c>
      <c r="K48" s="5"/>
      <c r="M48">
        <f>L49*$G$40</f>
        <v>55.000000000000007</v>
      </c>
      <c r="N48" s="6">
        <f>M49*$G$40</f>
        <v>52.250000000000007</v>
      </c>
    </row>
    <row r="49" spans="6:14" x14ac:dyDescent="0.2">
      <c r="F49" s="13"/>
      <c r="G49" s="14">
        <f>(1/(1+$G$44))*($G$43*H48+(1-$G$25)*H49)</f>
        <v>20.000004999999874</v>
      </c>
      <c r="H49" s="14">
        <f>MAX($G$39-($G$41)*$G$42,0,(1/(1+$G$44))*($G$43*I48+(1-$G$43)*I49))</f>
        <v>22.500002375000001</v>
      </c>
      <c r="I49" s="15">
        <f>MAX($G$39-($G$41^2)*$G$42,0)</f>
        <v>24.875</v>
      </c>
      <c r="K49" s="13"/>
      <c r="L49" s="42">
        <f>G42</f>
        <v>50</v>
      </c>
      <c r="M49" s="14">
        <f>L49*$G$41</f>
        <v>47.5</v>
      </c>
      <c r="N49" s="15">
        <f>M49*$G$41</f>
        <v>45.125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A0FD-190E-9C4A-8A64-AB090520F59B}">
  <dimension ref="E2:AR64"/>
  <sheetViews>
    <sheetView topLeftCell="A3" workbookViewId="0">
      <selection activeCell="D17" sqref="D17"/>
    </sheetView>
  </sheetViews>
  <sheetFormatPr baseColWidth="10" defaultRowHeight="16" x14ac:dyDescent="0.2"/>
  <cols>
    <col min="5" max="5" width="15.83203125" bestFit="1" customWidth="1"/>
  </cols>
  <sheetData>
    <row r="2" spans="5:44" x14ac:dyDescent="0.2"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5:44" x14ac:dyDescent="0.2">
      <c r="E3" s="5" t="s">
        <v>13</v>
      </c>
      <c r="H3" t="s">
        <v>14</v>
      </c>
      <c r="O3" s="6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</row>
    <row r="4" spans="5:44" x14ac:dyDescent="0.2">
      <c r="E4" s="5" t="s">
        <v>0</v>
      </c>
      <c r="O4" s="6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</row>
    <row r="5" spans="5:44" x14ac:dyDescent="0.2">
      <c r="E5" s="2" t="s">
        <v>15</v>
      </c>
      <c r="F5" s="17">
        <v>0.06</v>
      </c>
      <c r="O5" s="6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</row>
    <row r="6" spans="5:44" x14ac:dyDescent="0.2">
      <c r="E6" s="5" t="s">
        <v>16</v>
      </c>
      <c r="F6" s="18">
        <v>1.2</v>
      </c>
      <c r="O6" s="6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</row>
    <row r="7" spans="5:44" x14ac:dyDescent="0.2">
      <c r="E7" s="5" t="s">
        <v>17</v>
      </c>
      <c r="F7" s="18">
        <v>0.9</v>
      </c>
      <c r="O7" s="6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</row>
    <row r="8" spans="5:44" x14ac:dyDescent="0.2">
      <c r="E8" s="13" t="s">
        <v>18</v>
      </c>
      <c r="F8" s="15">
        <v>0.5</v>
      </c>
      <c r="G8" t="s">
        <v>19</v>
      </c>
      <c r="O8" s="6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</row>
    <row r="9" spans="5:44" x14ac:dyDescent="0.2">
      <c r="E9" s="5" t="s">
        <v>3</v>
      </c>
      <c r="F9" s="10">
        <v>0</v>
      </c>
      <c r="G9" s="10">
        <v>1</v>
      </c>
      <c r="H9" s="10">
        <v>2</v>
      </c>
      <c r="I9" s="10">
        <v>3</v>
      </c>
      <c r="J9" s="10">
        <v>4</v>
      </c>
      <c r="K9" s="10">
        <v>5</v>
      </c>
      <c r="L9" s="10">
        <v>6</v>
      </c>
      <c r="M9" s="10">
        <v>7</v>
      </c>
      <c r="N9" s="10">
        <v>8</v>
      </c>
      <c r="O9" s="16">
        <v>9</v>
      </c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</row>
    <row r="10" spans="5:44" x14ac:dyDescent="0.2">
      <c r="E10" s="5"/>
      <c r="O10" s="6">
        <f>N11*$F$6</f>
        <v>0.30958682111999991</v>
      </c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</row>
    <row r="11" spans="5:44" x14ac:dyDescent="0.2">
      <c r="E11" s="5"/>
      <c r="N11">
        <f>M12*$F$6</f>
        <v>0.25798901759999993</v>
      </c>
      <c r="O11" s="6">
        <f t="shared" ref="O11" si="0">N11*$F$7</f>
        <v>0.23219011583999993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</row>
    <row r="12" spans="5:44" x14ac:dyDescent="0.2">
      <c r="E12" s="5"/>
      <c r="M12">
        <f>L13*$F$6</f>
        <v>0.21499084799999996</v>
      </c>
      <c r="N12">
        <f t="shared" ref="N12:O12" si="1">M12*$F$7</f>
        <v>0.19349176319999997</v>
      </c>
      <c r="O12" s="6">
        <f t="shared" si="1"/>
        <v>0.17414258687999998</v>
      </c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</row>
    <row r="13" spans="5:44" x14ac:dyDescent="0.2">
      <c r="E13" s="5"/>
      <c r="L13">
        <f>K14*$F$6</f>
        <v>0.17915903999999996</v>
      </c>
      <c r="M13">
        <f t="shared" ref="M13:O13" si="2">L13*$F$7</f>
        <v>0.16124313599999998</v>
      </c>
      <c r="N13">
        <f t="shared" si="2"/>
        <v>0.14511882239999999</v>
      </c>
      <c r="O13" s="6">
        <f t="shared" si="2"/>
        <v>0.13060694015999999</v>
      </c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</row>
    <row r="14" spans="5:44" x14ac:dyDescent="0.2">
      <c r="E14" s="5"/>
      <c r="K14">
        <f>J15*$F$6</f>
        <v>0.14929919999999997</v>
      </c>
      <c r="L14">
        <f t="shared" ref="L14:O14" si="3">K14*$F$7</f>
        <v>0.13436927999999998</v>
      </c>
      <c r="M14">
        <f t="shared" si="3"/>
        <v>0.12093235199999998</v>
      </c>
      <c r="N14">
        <f t="shared" si="3"/>
        <v>0.10883911679999998</v>
      </c>
      <c r="O14" s="6">
        <f t="shared" si="3"/>
        <v>9.7955205119999986E-2</v>
      </c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</row>
    <row r="15" spans="5:44" x14ac:dyDescent="0.2">
      <c r="E15" s="5"/>
      <c r="J15">
        <f>I16*$F$6</f>
        <v>0.12441599999999997</v>
      </c>
      <c r="K15">
        <f t="shared" ref="K15:O15" si="4">J15*$F$7</f>
        <v>0.11197439999999997</v>
      </c>
      <c r="L15">
        <f t="shared" si="4"/>
        <v>0.10077695999999998</v>
      </c>
      <c r="M15">
        <f t="shared" si="4"/>
        <v>9.0699263999999988E-2</v>
      </c>
      <c r="N15">
        <f t="shared" si="4"/>
        <v>8.162933759999999E-2</v>
      </c>
      <c r="O15" s="6">
        <f t="shared" si="4"/>
        <v>7.346640384E-2</v>
      </c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</row>
    <row r="16" spans="5:44" x14ac:dyDescent="0.2">
      <c r="E16" s="5"/>
      <c r="I16">
        <f>H17*$F$6</f>
        <v>0.10367999999999998</v>
      </c>
      <c r="J16">
        <f>I16*$F$7</f>
        <v>9.3311999999999978E-2</v>
      </c>
      <c r="K16">
        <f t="shared" ref="K16:O16" si="5">J16*$F$7</f>
        <v>8.398079999999998E-2</v>
      </c>
      <c r="L16">
        <f t="shared" si="5"/>
        <v>7.5582719999999978E-2</v>
      </c>
      <c r="M16">
        <f t="shared" si="5"/>
        <v>6.8024447999999987E-2</v>
      </c>
      <c r="N16">
        <f t="shared" si="5"/>
        <v>6.1222003199999993E-2</v>
      </c>
      <c r="O16" s="6">
        <f t="shared" si="5"/>
        <v>5.5099802879999993E-2</v>
      </c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</row>
    <row r="17" spans="5:44" x14ac:dyDescent="0.2">
      <c r="E17" s="5"/>
      <c r="H17">
        <f>G18*$F$6</f>
        <v>8.6399999999999991E-2</v>
      </c>
      <c r="I17">
        <f t="shared" ref="I17:O17" si="6">H17*$F$7</f>
        <v>7.7759999999999996E-2</v>
      </c>
      <c r="J17">
        <f>I17*$F$7</f>
        <v>6.9984000000000005E-2</v>
      </c>
      <c r="K17">
        <f t="shared" si="6"/>
        <v>6.2985600000000003E-2</v>
      </c>
      <c r="L17">
        <f t="shared" si="6"/>
        <v>5.6687040000000001E-2</v>
      </c>
      <c r="M17">
        <f t="shared" si="6"/>
        <v>5.1018336000000004E-2</v>
      </c>
      <c r="N17">
        <f t="shared" si="6"/>
        <v>4.5916502400000003E-2</v>
      </c>
      <c r="O17" s="6">
        <f t="shared" si="6"/>
        <v>4.1324852160000002E-2</v>
      </c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</row>
    <row r="18" spans="5:44" x14ac:dyDescent="0.2">
      <c r="E18" s="5"/>
      <c r="G18">
        <f>F19*$F$6</f>
        <v>7.1999999999999995E-2</v>
      </c>
      <c r="H18">
        <f>G18*$F$7</f>
        <v>6.4799999999999996E-2</v>
      </c>
      <c r="I18">
        <f t="shared" ref="I18:O18" si="7">H18*$F$7</f>
        <v>5.8319999999999997E-2</v>
      </c>
      <c r="J18">
        <f>I18*$F$7</f>
        <v>5.2488E-2</v>
      </c>
      <c r="K18">
        <f t="shared" si="7"/>
        <v>4.7239200000000002E-2</v>
      </c>
      <c r="L18">
        <f>K18*$F$7</f>
        <v>4.2515280000000003E-2</v>
      </c>
      <c r="M18">
        <f t="shared" si="7"/>
        <v>3.8263752000000005E-2</v>
      </c>
      <c r="N18">
        <f t="shared" si="7"/>
        <v>3.4437376800000002E-2</v>
      </c>
      <c r="O18" s="6">
        <f t="shared" si="7"/>
        <v>3.0993639120000003E-2</v>
      </c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</row>
    <row r="19" spans="5:44" x14ac:dyDescent="0.2">
      <c r="E19" s="13"/>
      <c r="F19" s="14">
        <f>F5</f>
        <v>0.06</v>
      </c>
      <c r="G19" s="14">
        <f>F19*$F$7</f>
        <v>5.3999999999999999E-2</v>
      </c>
      <c r="H19" s="14">
        <f t="shared" ref="H19:O19" si="8">G19*$F$7</f>
        <v>4.8599999999999997E-2</v>
      </c>
      <c r="I19" s="14">
        <f t="shared" si="8"/>
        <v>4.3740000000000001E-2</v>
      </c>
      <c r="J19" s="14">
        <f>I19*$F$7</f>
        <v>3.9366000000000005E-2</v>
      </c>
      <c r="K19" s="14">
        <f t="shared" si="8"/>
        <v>3.5429400000000007E-2</v>
      </c>
      <c r="L19" s="14">
        <f t="shared" si="8"/>
        <v>3.1886460000000005E-2</v>
      </c>
      <c r="M19" s="14">
        <f t="shared" si="8"/>
        <v>2.8697814000000006E-2</v>
      </c>
      <c r="N19" s="14">
        <f t="shared" si="8"/>
        <v>2.5828032600000005E-2</v>
      </c>
      <c r="O19" s="15">
        <f t="shared" si="8"/>
        <v>2.3245229340000007E-2</v>
      </c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</row>
    <row r="20" spans="5:44" x14ac:dyDescent="0.2"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</row>
    <row r="21" spans="5:44" x14ac:dyDescent="0.2">
      <c r="E21" s="2" t="s">
        <v>20</v>
      </c>
      <c r="F21" s="3"/>
      <c r="G21" s="3"/>
      <c r="H21" s="3" t="s">
        <v>27</v>
      </c>
      <c r="I21" s="3"/>
      <c r="J21" s="3"/>
      <c r="K21" s="3"/>
      <c r="L21" s="3"/>
      <c r="M21" s="3"/>
      <c r="N21" s="3"/>
      <c r="O21" s="3"/>
      <c r="P21" s="4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</row>
    <row r="22" spans="5:44" x14ac:dyDescent="0.2">
      <c r="E22" s="2" t="s">
        <v>21</v>
      </c>
      <c r="F22" s="4" t="s">
        <v>22</v>
      </c>
      <c r="H22" t="s">
        <v>250</v>
      </c>
      <c r="P22" s="6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</row>
    <row r="23" spans="5:44" x14ac:dyDescent="0.2">
      <c r="E23" s="5" t="s">
        <v>23</v>
      </c>
      <c r="F23" s="18">
        <v>6</v>
      </c>
      <c r="G23" t="s">
        <v>26</v>
      </c>
      <c r="P23" s="6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</row>
    <row r="24" spans="5:44" x14ac:dyDescent="0.2">
      <c r="E24" s="5" t="s">
        <v>24</v>
      </c>
      <c r="F24" s="18">
        <v>100</v>
      </c>
      <c r="P24" s="6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</row>
    <row r="25" spans="5:44" x14ac:dyDescent="0.2">
      <c r="E25" s="13" t="s">
        <v>18</v>
      </c>
      <c r="F25" s="36">
        <v>0.5</v>
      </c>
      <c r="G25" t="s">
        <v>25</v>
      </c>
      <c r="P25" s="6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</row>
    <row r="26" spans="5:44" x14ac:dyDescent="0.2">
      <c r="E26" s="5" t="s">
        <v>3</v>
      </c>
      <c r="F26" s="10">
        <v>0</v>
      </c>
      <c r="G26" s="10">
        <v>1</v>
      </c>
      <c r="H26" s="10">
        <v>2</v>
      </c>
      <c r="I26" s="10">
        <v>3</v>
      </c>
      <c r="J26" s="10">
        <v>4</v>
      </c>
      <c r="K26" s="10">
        <v>5</v>
      </c>
      <c r="L26" s="10">
        <v>6</v>
      </c>
      <c r="M26" s="10">
        <v>7</v>
      </c>
      <c r="N26" s="10">
        <v>8</v>
      </c>
      <c r="O26" s="10">
        <v>9</v>
      </c>
      <c r="P26" s="16">
        <v>10</v>
      </c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</row>
    <row r="27" spans="5:44" x14ac:dyDescent="0.2">
      <c r="E27" s="5"/>
      <c r="P27" s="6">
        <f>$F$24+$F$23</f>
        <v>106</v>
      </c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</row>
    <row r="28" spans="5:44" x14ac:dyDescent="0.2">
      <c r="E28" s="5"/>
      <c r="O28">
        <f>(1/(1+O10))*(($F$25)*P27+($F$25)*P28)+$F$23</f>
        <v>86.941559803836043</v>
      </c>
      <c r="P28" s="6">
        <f t="shared" ref="P28:P37" si="9">$F$24+$F$23</f>
        <v>106</v>
      </c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</row>
    <row r="29" spans="5:44" x14ac:dyDescent="0.2">
      <c r="E29" s="5"/>
      <c r="N29">
        <f t="shared" ref="N29:N36" si="10">(1/(1+N11))*(($F$25)*O28+($F$25)*O29)+$F$23</f>
        <v>77.132276713851951</v>
      </c>
      <c r="O29">
        <f t="shared" ref="O29:O37" si="11">(1/(1+O11))*(($F$25)*P28+($F$25)*P29)+$F$23</f>
        <v>92.0256860019839</v>
      </c>
      <c r="P29" s="6">
        <f t="shared" si="9"/>
        <v>106</v>
      </c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</row>
    <row r="30" spans="5:44" x14ac:dyDescent="0.2">
      <c r="E30" s="5"/>
      <c r="M30">
        <f t="shared" ref="M30" si="12">(1/(1+M12))*(($F$25)*N29+($F$25)*N30)+$F$23</f>
        <v>72.675508581927332</v>
      </c>
      <c r="N30">
        <f t="shared" si="10"/>
        <v>84.8879887117224</v>
      </c>
      <c r="O30">
        <f t="shared" si="11"/>
        <v>96.278643483726611</v>
      </c>
      <c r="P30" s="6">
        <f t="shared" si="9"/>
        <v>106</v>
      </c>
      <c r="T30" s="52"/>
      <c r="U30" s="52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</row>
    <row r="31" spans="5:44" x14ac:dyDescent="0.2">
      <c r="E31" s="5"/>
      <c r="L31">
        <f t="shared" ref="L31" si="13">(1/(1+L13))*(($F$25)*M30+($F$25)*M31)+$F$23</f>
        <v>71.582527350828201</v>
      </c>
      <c r="M31">
        <f t="shared" ref="M31" si="14">(1/(1+M13))*(($F$25)*N30+($F$25)*N31)+$F$23</f>
        <v>81.988951401625343</v>
      </c>
      <c r="N31">
        <f t="shared" si="10"/>
        <v>91.59530774222759</v>
      </c>
      <c r="O31">
        <f>(1/(1+O13))*(($F$25)*P30+($F$25)*P31)+$F$23</f>
        <v>99.754952525763912</v>
      </c>
      <c r="P31" s="6">
        <f t="shared" si="9"/>
        <v>106</v>
      </c>
      <c r="T31" s="52"/>
      <c r="U31" s="52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</row>
    <row r="32" spans="5:44" x14ac:dyDescent="0.2">
      <c r="E32" s="5"/>
      <c r="K32">
        <f t="shared" ref="K32" si="15">(1/(1+K14))*(($F$25)*L31+($F$25)*L32)+$F$23</f>
        <v>72.774989538995598</v>
      </c>
      <c r="L32">
        <f t="shared" ref="L32" si="16">(1/(1+L14))*(($F$25)*M31+($F$25)*M32)+$F$23</f>
        <v>81.906356763523789</v>
      </c>
      <c r="M32">
        <f t="shared" ref="M32" si="17">(1/(1+M14))*(($F$25)*N31+($F$25)*N32)+$F$23</f>
        <v>90.222727136897916</v>
      </c>
      <c r="N32">
        <f>(1/(1+N14))*(($F$25)*O31+($F$25)*O32)+$F$23</f>
        <v>97.220651500606849</v>
      </c>
      <c r="O32">
        <f t="shared" si="11"/>
        <v>102.54310076194305</v>
      </c>
      <c r="P32" s="6">
        <f t="shared" si="9"/>
        <v>106</v>
      </c>
      <c r="T32" s="52"/>
      <c r="U32" s="52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</row>
    <row r="33" spans="5:44" x14ac:dyDescent="0.2">
      <c r="E33" s="5"/>
      <c r="J33">
        <f t="shared" ref="J33" si="18">(1/(1+J15))*(($F$25)*K32+($F$25)*K33)+$F$23</f>
        <v>75.632200710831142</v>
      </c>
      <c r="K33">
        <f t="shared" ref="K33" si="19">(1/(1+K15))*(($F$25)*L32+($F$25)*L33)+$F$23</f>
        <v>83.816131649944253</v>
      </c>
      <c r="L33">
        <f t="shared" ref="L33" si="20">(1/(1+L15))*(($F$25)*M32+($F$25)*M33)+$F$23</f>
        <v>91.152735840011758</v>
      </c>
      <c r="M33">
        <f t="shared" ref="M33" si="21">(1/(1+M15))*(($F$25)*N32+($F$25)*N33)+$F$23</f>
        <v>97.245612250404434</v>
      </c>
      <c r="N33">
        <f t="shared" si="10"/>
        <v>101.82239274888413</v>
      </c>
      <c r="O33">
        <f t="shared" si="11"/>
        <v>104.7455216305021</v>
      </c>
      <c r="P33" s="6">
        <f t="shared" si="9"/>
        <v>106</v>
      </c>
      <c r="T33" s="52"/>
      <c r="U33" s="52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</row>
    <row r="34" spans="5:44" x14ac:dyDescent="0.2">
      <c r="E34" s="5"/>
      <c r="I34">
        <f t="shared" ref="I34" si="22">(1/(1+I16))*(($F$25)*J33+($F$25)*J34)+$F$23</f>
        <v>79.773374892861952</v>
      </c>
      <c r="J34">
        <f t="shared" ref="J34" si="23">(1/(1+J16))*(($F$25)*K33+($F$25)*K34)+$F$23</f>
        <v>87.212196092676649</v>
      </c>
      <c r="K34">
        <f>(1/(1+K16))*(($F$25)*L33+($F$25)*L34)+$F$23</f>
        <v>93.764405419008725</v>
      </c>
      <c r="L34">
        <f>(1/(1+L16))*(($F$25)*M33+($F$25)*M34)+$F$23</f>
        <v>99.117124955231063</v>
      </c>
      <c r="M34">
        <f t="shared" ref="M34" si="24">(1/(1+M16))*(($F$25)*N33+($F$25)*N34)+$F$23</f>
        <v>103.06472882545015</v>
      </c>
      <c r="N34">
        <f t="shared" si="10"/>
        <v>105.51261409925804</v>
      </c>
      <c r="O34">
        <f t="shared" si="11"/>
        <v>106.46442972566427</v>
      </c>
      <c r="P34" s="6">
        <f t="shared" si="9"/>
        <v>106</v>
      </c>
      <c r="T34" s="52"/>
      <c r="U34" s="52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</row>
    <row r="35" spans="5:44" x14ac:dyDescent="0.2">
      <c r="E35" s="5"/>
      <c r="H35">
        <f t="shared" ref="H35" si="25">(1/(1+H17))*(($F$25)*I34+($F$25)*I35)+$F$23</f>
        <v>84.947553347139092</v>
      </c>
      <c r="I35">
        <f t="shared" ref="I35" si="26">(1/(1+I17))*(($F$25)*J34+($F$25)*J35)+$F$23</f>
        <v>91.763869019801888</v>
      </c>
      <c r="J35">
        <f t="shared" ref="J35" si="27">(1/(1+J17))*(($F$25)*K34+($F$25)*K35)+$F$23</f>
        <v>97.653538856886726</v>
      </c>
      <c r="K35">
        <f t="shared" ref="K35" si="28">(1/(1+K17))*(($F$25)*L34+($F$25)*L35)+$F$23</f>
        <v>102.37123482148547</v>
      </c>
      <c r="L35">
        <f t="shared" ref="L35" si="29">(1/(1+L17))*(($F$25)*M34+($F$25)*M35)+$F$23</f>
        <v>105.76534478368418</v>
      </c>
      <c r="M35">
        <f t="shared" ref="M35" si="30">(1/(1+M17))*(($F$25)*N34+($F$25)*N35)+$F$23</f>
        <v>107.77676492265118</v>
      </c>
      <c r="N35">
        <f t="shared" si="10"/>
        <v>108.425878125678</v>
      </c>
      <c r="O35">
        <f t="shared" si="11"/>
        <v>107.79340268325129</v>
      </c>
      <c r="P35" s="6">
        <f t="shared" si="9"/>
        <v>106</v>
      </c>
      <c r="T35" s="52"/>
      <c r="U35" s="52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</row>
    <row r="36" spans="5:44" x14ac:dyDescent="0.2">
      <c r="E36" s="5"/>
      <c r="G36">
        <f t="shared" ref="G36:M37" si="31">(1/(1+G18))*(($F$25)*H35+($F$25)*H36)+$F$23</f>
        <v>90.975689798224309</v>
      </c>
      <c r="H36">
        <f t="shared" ref="H36" si="32">(1/(1+H18))*(($F$25)*I35+($F$25)*I36)+$F$23</f>
        <v>97.240325580253867</v>
      </c>
      <c r="I36">
        <f t="shared" ref="I36" si="33">(1/(1+I18))*(($F$25)*J35+($F$25)*J36)+$F$23</f>
        <v>102.54152833590676</v>
      </c>
      <c r="J36">
        <f>(1/(1+J18))*(($F$25)*K35+($F$25)*K36)+$F$23</f>
        <v>106.69012168002696</v>
      </c>
      <c r="K36">
        <f t="shared" ref="K36" si="34">(1/(1+K18))*(($F$25)*L35+($F$25)*L36)+$F$23</f>
        <v>109.57905475205098</v>
      </c>
      <c r="L36">
        <f t="shared" ref="L36" si="35">(1/(1+L18))*(($F$25)*M35+($F$25)*M36)+$F$23</f>
        <v>111.17874808690391</v>
      </c>
      <c r="M36">
        <f t="shared" ref="M36" si="36">(1/(1+M18))*(($F$25)*N35+($F$25)*N36)+$F$23</f>
        <v>111.52413910108501</v>
      </c>
      <c r="N36">
        <f t="shared" si="10"/>
        <v>110.69789905364686</v>
      </c>
      <c r="O36">
        <f t="shared" si="11"/>
        <v>108.81343742380002</v>
      </c>
      <c r="P36" s="6">
        <f t="shared" si="9"/>
        <v>106</v>
      </c>
      <c r="T36" s="52"/>
      <c r="U36" s="52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</row>
    <row r="37" spans="5:44" x14ac:dyDescent="0.2">
      <c r="E37" s="13"/>
      <c r="F37" s="14">
        <f>(1/(1+F19))*(($F$25)*G36+($F$25)*G37)</f>
        <v>91.71935534878908</v>
      </c>
      <c r="G37" s="14">
        <f t="shared" si="31"/>
        <v>103.46934354120856</v>
      </c>
      <c r="H37" s="14">
        <f t="shared" si="31"/>
        <v>108.22505060461376</v>
      </c>
      <c r="I37" s="14">
        <f t="shared" si="31"/>
        <v>111.8448477920892</v>
      </c>
      <c r="J37" s="14">
        <f t="shared" si="31"/>
        <v>114.25888118900343</v>
      </c>
      <c r="K37" s="14">
        <f t="shared" si="31"/>
        <v>115.46214585972848</v>
      </c>
      <c r="L37" s="14">
        <f t="shared" si="31"/>
        <v>115.50189993359837</v>
      </c>
      <c r="M37" s="14">
        <f t="shared" si="31"/>
        <v>114.46291667042506</v>
      </c>
      <c r="N37" s="14">
        <f t="shared" ref="N37" si="37">(1/(1+N19))*(($F$25)*O36+($F$25)*O37)+$F$23</f>
        <v>112.45323150421399</v>
      </c>
      <c r="O37" s="14">
        <f t="shared" si="11"/>
        <v>109.59198065196033</v>
      </c>
      <c r="P37" s="15">
        <f t="shared" si="9"/>
        <v>106</v>
      </c>
      <c r="T37" s="52"/>
      <c r="U37" s="52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</row>
    <row r="38" spans="5:44" x14ac:dyDescent="0.2">
      <c r="T38" s="52"/>
      <c r="U38" s="52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</row>
    <row r="39" spans="5:44" x14ac:dyDescent="0.2">
      <c r="T39" s="52"/>
      <c r="U39" s="52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</row>
    <row r="40" spans="5:44" x14ac:dyDescent="0.2">
      <c r="E40" s="2" t="s">
        <v>28</v>
      </c>
      <c r="F40" s="3"/>
      <c r="G40" s="3"/>
      <c r="H40" s="3" t="s">
        <v>29</v>
      </c>
      <c r="I40" s="3"/>
      <c r="J40" s="3"/>
      <c r="K40" s="3"/>
      <c r="L40" s="3"/>
      <c r="M40" s="3"/>
      <c r="N40" s="3"/>
      <c r="O40" s="3"/>
      <c r="P40" s="4"/>
      <c r="T40" s="52"/>
      <c r="U40" s="52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</row>
    <row r="41" spans="5:44" x14ac:dyDescent="0.2">
      <c r="E41" s="5" t="s">
        <v>0</v>
      </c>
      <c r="H41" t="s">
        <v>31</v>
      </c>
      <c r="P41" s="6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</row>
    <row r="42" spans="5:44" x14ac:dyDescent="0.2">
      <c r="E42" s="5" t="s">
        <v>21</v>
      </c>
      <c r="F42" t="s">
        <v>30</v>
      </c>
      <c r="H42" t="s">
        <v>32</v>
      </c>
      <c r="P42" s="6"/>
      <c r="T42" s="52"/>
      <c r="U42" s="52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</row>
    <row r="43" spans="5:44" x14ac:dyDescent="0.2">
      <c r="E43" s="5" t="s">
        <v>23</v>
      </c>
      <c r="F43" s="7">
        <v>6</v>
      </c>
      <c r="G43" t="s">
        <v>26</v>
      </c>
      <c r="H43" t="s">
        <v>33</v>
      </c>
      <c r="P43" s="6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</row>
    <row r="44" spans="5:44" x14ac:dyDescent="0.2">
      <c r="E44" s="5" t="s">
        <v>24</v>
      </c>
      <c r="F44" s="7">
        <v>100</v>
      </c>
      <c r="P44" s="6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</row>
    <row r="45" spans="5:44" x14ac:dyDescent="0.2">
      <c r="E45" s="5" t="s">
        <v>18</v>
      </c>
      <c r="F45" s="7">
        <v>0.5</v>
      </c>
      <c r="G45" t="s">
        <v>25</v>
      </c>
      <c r="P45" s="6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</row>
    <row r="46" spans="5:44" x14ac:dyDescent="0.2">
      <c r="E46" s="5" t="s">
        <v>3</v>
      </c>
      <c r="F46" s="10">
        <v>0</v>
      </c>
      <c r="G46" s="10">
        <v>1</v>
      </c>
      <c r="H46" s="10">
        <v>2</v>
      </c>
      <c r="I46" s="10">
        <v>3</v>
      </c>
      <c r="J46" s="10">
        <v>4</v>
      </c>
      <c r="K46" s="10">
        <v>5</v>
      </c>
      <c r="L46" s="10">
        <v>6</v>
      </c>
      <c r="M46" s="10">
        <v>7</v>
      </c>
      <c r="N46" s="10">
        <v>8</v>
      </c>
      <c r="O46" s="10">
        <v>9</v>
      </c>
      <c r="P46" s="16">
        <v>10</v>
      </c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</row>
    <row r="47" spans="5:44" x14ac:dyDescent="0.2">
      <c r="E47" s="5"/>
      <c r="P47" s="6">
        <f>$F$44+$F$43</f>
        <v>106</v>
      </c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</row>
    <row r="48" spans="5:44" x14ac:dyDescent="0.2">
      <c r="E48" s="5"/>
      <c r="O48">
        <f>MIN(((1/(1+O10))*(($F$45)*P47+($F$45)*P48)+$F$43),($F$44+$F$43))</f>
        <v>86.941559803836043</v>
      </c>
      <c r="P48" s="6">
        <f t="shared" ref="P48:P57" si="38">$F$44+$F$43</f>
        <v>106</v>
      </c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</row>
    <row r="49" spans="5:44" x14ac:dyDescent="0.2">
      <c r="E49" s="5"/>
      <c r="N49">
        <f t="shared" ref="N49:O57" si="39">MIN(((1/(1+N11))*(($F$45)*O48+($F$45)*O49)+$F$43),($F$44+$F$43))</f>
        <v>77.132276713851951</v>
      </c>
      <c r="O49">
        <f t="shared" si="39"/>
        <v>92.0256860019839</v>
      </c>
      <c r="P49" s="6">
        <f t="shared" si="38"/>
        <v>106</v>
      </c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</row>
    <row r="50" spans="5:44" x14ac:dyDescent="0.2">
      <c r="E50" s="5"/>
      <c r="M50">
        <f t="shared" ref="M50" si="40">MIN(((1/(1+M12))*(($F$45)*N49+($F$45)*N50)+$F$43),($F$44+$F$43))</f>
        <v>72.675508581927332</v>
      </c>
      <c r="N50">
        <f>MIN(((1/(1+N12))*(($F$45)*O49+($F$45)*O50)+$F$43),($F$44+$F$43))</f>
        <v>84.8879887117224</v>
      </c>
      <c r="O50">
        <f t="shared" si="39"/>
        <v>96.278643483726611</v>
      </c>
      <c r="P50" s="6">
        <f t="shared" si="38"/>
        <v>106</v>
      </c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</row>
    <row r="51" spans="5:44" x14ac:dyDescent="0.2">
      <c r="E51" s="5"/>
      <c r="L51">
        <f t="shared" ref="L51:M51" si="41">MIN(((1/(1+L13))*(($F$45)*M50+($F$45)*M51)+$F$43),($F$44+$F$43))</f>
        <v>71.582527350828201</v>
      </c>
      <c r="M51">
        <f t="shared" si="41"/>
        <v>81.988951401625343</v>
      </c>
      <c r="N51">
        <f t="shared" ref="N51" si="42">MIN(((1/(1+N13))*(($F$45)*O50+($F$45)*O51)+$F$43),($F$44+$F$43))</f>
        <v>91.59530774222759</v>
      </c>
      <c r="O51">
        <f t="shared" si="39"/>
        <v>99.754952525763912</v>
      </c>
      <c r="P51" s="6">
        <f t="shared" si="38"/>
        <v>106</v>
      </c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</row>
    <row r="52" spans="5:44" x14ac:dyDescent="0.2">
      <c r="E52" s="5"/>
      <c r="K52">
        <f t="shared" ref="K52:L52" si="43">MIN(((1/(1+K14))*(($F$45)*L51+($F$45)*L52)+$F$43),($F$44+$F$43))</f>
        <v>72.774989538995598</v>
      </c>
      <c r="L52">
        <f t="shared" si="43"/>
        <v>81.906356763523789</v>
      </c>
      <c r="M52">
        <f t="shared" ref="M52" si="44">MIN(((1/(1+M14))*(($F$45)*N51+($F$45)*N52)+$F$43),($F$44+$F$43))</f>
        <v>90.222727136897916</v>
      </c>
      <c r="N52">
        <f t="shared" ref="N52" si="45">MIN(((1/(1+N14))*(($F$45)*O51+($F$45)*O52)+$F$43),($F$44+$F$43))</f>
        <v>97.220651500606849</v>
      </c>
      <c r="O52">
        <f t="shared" si="39"/>
        <v>102.54310076194305</v>
      </c>
      <c r="P52" s="6">
        <f t="shared" si="38"/>
        <v>106</v>
      </c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</row>
    <row r="53" spans="5:44" x14ac:dyDescent="0.2">
      <c r="E53" s="5"/>
      <c r="J53">
        <f>(1/(1+J15))*(($F$45)*K52+($F$45)*K53)+$F$43</f>
        <v>75.632200710831142</v>
      </c>
      <c r="K53">
        <f t="shared" ref="K53" si="46">MIN(((1/(1+K15))*(($F$45)*L52+($F$45)*L53)+$F$43),($F$44+$F$43))</f>
        <v>83.816131649944253</v>
      </c>
      <c r="L53">
        <f t="shared" ref="L53" si="47">MIN(((1/(1+L15))*(($F$45)*M52+($F$45)*M53)+$F$43),($F$44+$F$43))</f>
        <v>91.152735840011758</v>
      </c>
      <c r="M53">
        <f t="shared" ref="M53" si="48">MIN(((1/(1+M15))*(($F$45)*N52+($F$45)*N53)+$F$43),($F$44+$F$43))</f>
        <v>97.245612250404434</v>
      </c>
      <c r="N53">
        <f t="shared" ref="N53" si="49">MIN(((1/(1+N15))*(($F$45)*O52+($F$45)*O53)+$F$43),($F$44+$F$43))</f>
        <v>101.82239274888413</v>
      </c>
      <c r="O53">
        <f t="shared" si="39"/>
        <v>104.7455216305021</v>
      </c>
      <c r="P53" s="6">
        <f t="shared" si="38"/>
        <v>106</v>
      </c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</row>
    <row r="54" spans="5:44" x14ac:dyDescent="0.2">
      <c r="E54" s="5"/>
      <c r="I54">
        <f t="shared" ref="H54:J56" si="50">(1/(1+I16))*(($F$45)*J53+($F$45)*J54)+$F$43</f>
        <v>79.768823965529393</v>
      </c>
      <c r="J54">
        <f t="shared" si="50"/>
        <v>87.202150557719833</v>
      </c>
      <c r="K54">
        <f t="shared" ref="K54" si="51">MIN(((1/(1+K16))*(($F$45)*L53+($F$45)*L54)+$F$43),($F$44+$F$43))</f>
        <v>93.742439611179321</v>
      </c>
      <c r="L54">
        <f t="shared" ref="L54" si="52">MIN(((1/(1+L16))*(($F$45)*M53+($F$45)*M54)+$F$43),($F$44+$F$43))</f>
        <v>99.069503927343916</v>
      </c>
      <c r="M54">
        <f t="shared" ref="M54" si="53">MIN(((1/(1+M16))*(($F$45)*N53+($F$45)*N54)+$F$43),($F$44+$F$43))</f>
        <v>102.96228811604205</v>
      </c>
      <c r="N54">
        <f t="shared" ref="N54" si="54">MIN(((1/(1+N16))*(($F$45)*O53+($F$45)*O54)+$F$43),($F$44+$F$43))</f>
        <v>105.29379573502142</v>
      </c>
      <c r="O54">
        <f t="shared" si="39"/>
        <v>106</v>
      </c>
      <c r="P54" s="6">
        <f t="shared" si="38"/>
        <v>106</v>
      </c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</row>
    <row r="55" spans="5:44" x14ac:dyDescent="0.2">
      <c r="E55" s="5"/>
      <c r="H55">
        <f t="shared" si="50"/>
        <v>84.897156164134643</v>
      </c>
      <c r="I55">
        <f t="shared" si="50"/>
        <v>91.65891694790237</v>
      </c>
      <c r="J55">
        <f t="shared" si="50"/>
        <v>97.437358101822682</v>
      </c>
      <c r="K55">
        <f t="shared" ref="K55" si="55">MIN(((1/(1+K17))*(($F$45)*L54+($F$45)*L55)+$F$43),($F$44+$F$43))</f>
        <v>101.93058073126198</v>
      </c>
      <c r="L55">
        <f t="shared" ref="L55" si="56">MIN(((1/(1+L17))*(($F$45)*M54+($F$45)*M55)+$F$43),($F$44+$F$43))</f>
        <v>104.87614790659401</v>
      </c>
      <c r="M55">
        <f t="shared" ref="M55" si="57">MIN(((1/(1+M17))*(($F$45)*N54+($F$45)*N55)+$F$43),($F$44+$F$43))</f>
        <v>106</v>
      </c>
      <c r="N55">
        <f t="shared" ref="N55" si="58">MIN(((1/(1+N17))*(($F$45)*O54+($F$45)*O55)+$F$43),($F$44+$F$43))</f>
        <v>106</v>
      </c>
      <c r="O55">
        <f t="shared" si="39"/>
        <v>106</v>
      </c>
      <c r="P55" s="6">
        <f t="shared" si="38"/>
        <v>106</v>
      </c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</row>
    <row r="56" spans="5:44" x14ac:dyDescent="0.2">
      <c r="E56" s="5"/>
      <c r="G56">
        <f t="shared" ref="G56:I56" si="59">(1/(1+G18))*(($F$45)*H55+($F$45)*H56)+$F$43</f>
        <v>90.709232598475666</v>
      </c>
      <c r="H56">
        <f t="shared" si="59"/>
        <v>96.719438526997195</v>
      </c>
      <c r="I56">
        <f t="shared" si="59"/>
        <v>101.53719933919086</v>
      </c>
      <c r="J56">
        <f t="shared" si="50"/>
        <v>104.78049950748226</v>
      </c>
      <c r="K56">
        <f t="shared" ref="K56" si="60">MIN(((1/(1+K18))*(($F$45)*L55+($F$45)*L56)+$F$43),($F$44+$F$43))</f>
        <v>106</v>
      </c>
      <c r="L56">
        <f t="shared" ref="L56" si="61">MIN(((1/(1+L18))*(($F$45)*M55+($F$45)*M56)+$F$43),($F$44+$F$43))</f>
        <v>106</v>
      </c>
      <c r="M56">
        <f t="shared" ref="M56" si="62">MIN(((1/(1+M18))*(($F$45)*N55+($F$45)*N56)+$F$43),($F$44+$F$43))</f>
        <v>106</v>
      </c>
      <c r="N56">
        <f t="shared" ref="N56" si="63">MIN(((1/(1+N18))*(($F$45)*O55+($F$45)*O56)+$F$43),($F$44+$F$43))</f>
        <v>106</v>
      </c>
      <c r="O56">
        <f t="shared" si="39"/>
        <v>106</v>
      </c>
      <c r="P56" s="6">
        <f t="shared" si="38"/>
        <v>106</v>
      </c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</row>
    <row r="57" spans="5:44" x14ac:dyDescent="0.2">
      <c r="E57" s="13"/>
      <c r="F57" s="14">
        <f>(1/(1+F19))*(($F$45)*G56+($F$45)*G57)</f>
        <v>90.95168139081386</v>
      </c>
      <c r="G57" s="14">
        <f t="shared" ref="G57:I57" si="64">(1/(1+G19))*(($F$45)*H56+($F$45)*H57)+$F$43</f>
        <v>102.10833195004975</v>
      </c>
      <c r="H57" s="14">
        <f t="shared" si="64"/>
        <v>105.8769252237077</v>
      </c>
      <c r="I57" s="14">
        <f t="shared" si="64"/>
        <v>107.92468823996892</v>
      </c>
      <c r="J57" s="14">
        <f>(1/(1+J19))*(($F$45)*K56+($F$45)*K57)+$F$43</f>
        <v>107.98524869968809</v>
      </c>
      <c r="K57" s="14">
        <f t="shared" ref="K57" si="65">MIN(((1/(1+K19))*(($F$45)*L56+($F$45)*L57)+$F$43),($F$44+$F$43))</f>
        <v>106</v>
      </c>
      <c r="L57" s="14">
        <f t="shared" ref="L57" si="66">MIN(((1/(1+L19))*(($F$45)*M56+($F$45)*M57)+$F$43),($F$44+$F$43))</f>
        <v>106</v>
      </c>
      <c r="M57" s="14">
        <f t="shared" ref="M57" si="67">MIN(((1/(1+M19))*(($F$45)*N56+($F$45)*N57)+$F$43),($F$44+$F$43))</f>
        <v>106</v>
      </c>
      <c r="N57" s="14">
        <f t="shared" ref="N57" si="68">MIN(((1/(1+N19))*(($F$45)*O56+($F$45)*O57)+$F$43),($F$44+$F$43))</f>
        <v>106</v>
      </c>
      <c r="O57" s="14">
        <f t="shared" si="39"/>
        <v>106</v>
      </c>
      <c r="P57" s="15">
        <f t="shared" si="38"/>
        <v>106</v>
      </c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</row>
    <row r="58" spans="5:44" x14ac:dyDescent="0.2"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</row>
    <row r="59" spans="5:44" x14ac:dyDescent="0.2"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</row>
    <row r="60" spans="5:44" x14ac:dyDescent="0.2"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</row>
    <row r="61" spans="5:44" x14ac:dyDescent="0.2"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</row>
    <row r="62" spans="5:44" x14ac:dyDescent="0.2"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</row>
    <row r="63" spans="5:44" x14ac:dyDescent="0.2"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</row>
    <row r="64" spans="5:44" x14ac:dyDescent="0.2"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6546-2C50-F947-BF34-559044732416}">
  <dimension ref="C4:N45"/>
  <sheetViews>
    <sheetView zoomScale="116" workbookViewId="0">
      <selection activeCell="C51" sqref="C51"/>
    </sheetView>
  </sheetViews>
  <sheetFormatPr baseColWidth="10" defaultRowHeight="16" x14ac:dyDescent="0.2"/>
  <cols>
    <col min="3" max="3" width="16.5" bestFit="1" customWidth="1"/>
  </cols>
  <sheetData>
    <row r="4" spans="3:13" x14ac:dyDescent="0.2">
      <c r="C4" s="14"/>
      <c r="D4" s="14"/>
      <c r="E4" s="14"/>
      <c r="G4" s="14"/>
      <c r="H4" s="14"/>
      <c r="I4" s="14"/>
      <c r="J4" s="14"/>
      <c r="K4" s="14"/>
      <c r="L4" s="14"/>
      <c r="M4" s="14"/>
    </row>
    <row r="5" spans="3:13" x14ac:dyDescent="0.2">
      <c r="C5" s="2" t="s">
        <v>13</v>
      </c>
      <c r="D5" s="3"/>
      <c r="E5" s="3"/>
      <c r="F5" s="3" t="s">
        <v>14</v>
      </c>
      <c r="G5" s="3"/>
      <c r="H5" s="3"/>
      <c r="I5" s="3"/>
      <c r="J5" s="3"/>
      <c r="K5" s="3"/>
      <c r="L5" s="3"/>
      <c r="M5" s="4"/>
    </row>
    <row r="6" spans="3:13" x14ac:dyDescent="0.2">
      <c r="C6" s="2" t="s">
        <v>0</v>
      </c>
      <c r="D6" s="4"/>
      <c r="M6" s="6"/>
    </row>
    <row r="7" spans="3:13" x14ac:dyDescent="0.2">
      <c r="C7" s="5" t="s">
        <v>15</v>
      </c>
      <c r="D7" s="18">
        <v>0.06</v>
      </c>
      <c r="M7" s="6"/>
    </row>
    <row r="8" spans="3:13" x14ac:dyDescent="0.2">
      <c r="C8" s="5" t="s">
        <v>16</v>
      </c>
      <c r="D8" s="18">
        <v>1.2</v>
      </c>
      <c r="M8" s="6"/>
    </row>
    <row r="9" spans="3:13" x14ac:dyDescent="0.2">
      <c r="C9" s="5" t="s">
        <v>17</v>
      </c>
      <c r="D9" s="18">
        <v>0.9</v>
      </c>
      <c r="M9" s="6"/>
    </row>
    <row r="10" spans="3:13" x14ac:dyDescent="0.2">
      <c r="C10" s="13" t="s">
        <v>18</v>
      </c>
      <c r="D10" s="15">
        <v>0.5</v>
      </c>
      <c r="E10" t="s">
        <v>19</v>
      </c>
      <c r="M10" s="6"/>
    </row>
    <row r="11" spans="3:13" x14ac:dyDescent="0.2">
      <c r="C11" s="5" t="s">
        <v>3</v>
      </c>
      <c r="D11" s="10">
        <v>0</v>
      </c>
      <c r="E11" s="10">
        <v>1</v>
      </c>
      <c r="F11" s="10">
        <v>2</v>
      </c>
      <c r="G11" s="10">
        <v>3</v>
      </c>
      <c r="H11" s="10">
        <v>4</v>
      </c>
      <c r="I11" s="10">
        <v>5</v>
      </c>
      <c r="J11" s="10">
        <v>6</v>
      </c>
      <c r="K11" s="10">
        <v>7</v>
      </c>
      <c r="L11" s="10">
        <v>8</v>
      </c>
      <c r="M11" s="16">
        <v>9</v>
      </c>
    </row>
    <row r="12" spans="3:13" x14ac:dyDescent="0.2">
      <c r="C12" s="5"/>
      <c r="M12" s="6">
        <f>L13*$D$8</f>
        <v>0.30958682111999991</v>
      </c>
    </row>
    <row r="13" spans="3:13" x14ac:dyDescent="0.2">
      <c r="C13" s="5"/>
      <c r="L13">
        <f>K14*$D$8</f>
        <v>0.25798901759999993</v>
      </c>
      <c r="M13" s="6">
        <f t="shared" ref="M13:M21" si="0">L13*$D$9</f>
        <v>0.23219011583999993</v>
      </c>
    </row>
    <row r="14" spans="3:13" x14ac:dyDescent="0.2">
      <c r="C14" s="5"/>
      <c r="K14">
        <f>J15*$D$8</f>
        <v>0.21499084799999996</v>
      </c>
      <c r="L14">
        <f t="shared" ref="L14:L21" si="1">K14*$D$9</f>
        <v>0.19349176319999997</v>
      </c>
      <c r="M14" s="6">
        <f t="shared" si="0"/>
        <v>0.17414258687999998</v>
      </c>
    </row>
    <row r="15" spans="3:13" x14ac:dyDescent="0.2">
      <c r="C15" s="5"/>
      <c r="J15">
        <f>I16*$D$8</f>
        <v>0.17915903999999996</v>
      </c>
      <c r="K15">
        <f t="shared" ref="K15:K21" si="2">J15*$D$9</f>
        <v>0.16124313599999998</v>
      </c>
      <c r="L15">
        <f t="shared" si="1"/>
        <v>0.14511882239999999</v>
      </c>
      <c r="M15" s="6">
        <f t="shared" si="0"/>
        <v>0.13060694015999999</v>
      </c>
    </row>
    <row r="16" spans="3:13" x14ac:dyDescent="0.2">
      <c r="C16" s="5"/>
      <c r="I16">
        <f>H17*$D$8</f>
        <v>0.14929919999999997</v>
      </c>
      <c r="J16">
        <f t="shared" ref="J16:J21" si="3">I16*$D$9</f>
        <v>0.13436927999999998</v>
      </c>
      <c r="K16">
        <f t="shared" si="2"/>
        <v>0.12093235199999998</v>
      </c>
      <c r="L16">
        <f t="shared" si="1"/>
        <v>0.10883911679999998</v>
      </c>
      <c r="M16" s="6">
        <f t="shared" si="0"/>
        <v>9.7955205119999986E-2</v>
      </c>
    </row>
    <row r="17" spans="3:14" x14ac:dyDescent="0.2">
      <c r="C17" s="5"/>
      <c r="H17">
        <f>G18*$D$8</f>
        <v>0.12441599999999997</v>
      </c>
      <c r="I17">
        <f t="shared" ref="I17:I21" si="4">H17*$D$9</f>
        <v>0.11197439999999997</v>
      </c>
      <c r="J17">
        <f t="shared" si="3"/>
        <v>0.10077695999999998</v>
      </c>
      <c r="K17">
        <f t="shared" si="2"/>
        <v>9.0699263999999988E-2</v>
      </c>
      <c r="L17">
        <f t="shared" si="1"/>
        <v>8.162933759999999E-2</v>
      </c>
      <c r="M17" s="6">
        <f t="shared" si="0"/>
        <v>7.346640384E-2</v>
      </c>
    </row>
    <row r="18" spans="3:14" x14ac:dyDescent="0.2">
      <c r="C18" s="5"/>
      <c r="G18">
        <f>F19*$D$8</f>
        <v>0.10367999999999998</v>
      </c>
      <c r="H18">
        <f t="shared" ref="H18:H21" si="5">G18*$D$9</f>
        <v>9.3311999999999978E-2</v>
      </c>
      <c r="I18">
        <f t="shared" si="4"/>
        <v>8.398079999999998E-2</v>
      </c>
      <c r="J18">
        <f t="shared" si="3"/>
        <v>7.5582719999999978E-2</v>
      </c>
      <c r="K18">
        <f t="shared" si="2"/>
        <v>6.8024447999999987E-2</v>
      </c>
      <c r="L18">
        <f t="shared" si="1"/>
        <v>6.1222003199999993E-2</v>
      </c>
      <c r="M18" s="6">
        <f t="shared" si="0"/>
        <v>5.5099802879999993E-2</v>
      </c>
    </row>
    <row r="19" spans="3:14" x14ac:dyDescent="0.2">
      <c r="C19" s="5"/>
      <c r="F19">
        <f>E20*$D$8</f>
        <v>8.6399999999999991E-2</v>
      </c>
      <c r="G19">
        <f t="shared" ref="G19:G21" si="6">F19*$D$9</f>
        <v>7.7759999999999996E-2</v>
      </c>
      <c r="H19">
        <f t="shared" si="5"/>
        <v>6.9984000000000005E-2</v>
      </c>
      <c r="I19">
        <f t="shared" si="4"/>
        <v>6.2985600000000003E-2</v>
      </c>
      <c r="J19">
        <f t="shared" si="3"/>
        <v>5.6687040000000001E-2</v>
      </c>
      <c r="K19">
        <f t="shared" si="2"/>
        <v>5.1018336000000004E-2</v>
      </c>
      <c r="L19">
        <f t="shared" si="1"/>
        <v>4.5916502400000003E-2</v>
      </c>
      <c r="M19" s="6">
        <f t="shared" si="0"/>
        <v>4.1324852160000002E-2</v>
      </c>
    </row>
    <row r="20" spans="3:14" x14ac:dyDescent="0.2">
      <c r="C20" s="5"/>
      <c r="E20">
        <f>D21*$D$8</f>
        <v>7.1999999999999995E-2</v>
      </c>
      <c r="F20">
        <f t="shared" ref="F20:F21" si="7">E20*$D$9</f>
        <v>6.4799999999999996E-2</v>
      </c>
      <c r="G20">
        <f t="shared" si="6"/>
        <v>5.8319999999999997E-2</v>
      </c>
      <c r="H20">
        <f t="shared" si="5"/>
        <v>5.2488E-2</v>
      </c>
      <c r="I20">
        <f t="shared" si="4"/>
        <v>4.7239200000000002E-2</v>
      </c>
      <c r="J20">
        <f t="shared" si="3"/>
        <v>4.2515280000000003E-2</v>
      </c>
      <c r="K20">
        <f>J20*$D$9</f>
        <v>3.8263752000000005E-2</v>
      </c>
      <c r="L20">
        <f t="shared" si="1"/>
        <v>3.4437376800000002E-2</v>
      </c>
      <c r="M20" s="6">
        <f t="shared" si="0"/>
        <v>3.0993639120000003E-2</v>
      </c>
    </row>
    <row r="21" spans="3:14" x14ac:dyDescent="0.2">
      <c r="C21" s="13"/>
      <c r="D21" s="14">
        <f>D7</f>
        <v>0.06</v>
      </c>
      <c r="E21" s="14">
        <f>D21*$D$9</f>
        <v>5.3999999999999999E-2</v>
      </c>
      <c r="F21" s="14">
        <f t="shared" si="7"/>
        <v>4.8599999999999997E-2</v>
      </c>
      <c r="G21" s="14">
        <f t="shared" si="6"/>
        <v>4.3740000000000001E-2</v>
      </c>
      <c r="H21" s="14">
        <f t="shared" si="5"/>
        <v>3.9366000000000005E-2</v>
      </c>
      <c r="I21" s="14">
        <f t="shared" si="4"/>
        <v>3.5429400000000007E-2</v>
      </c>
      <c r="J21" s="14">
        <f t="shared" si="3"/>
        <v>3.1886460000000005E-2</v>
      </c>
      <c r="K21" s="14">
        <f t="shared" si="2"/>
        <v>2.8697814000000006E-2</v>
      </c>
      <c r="L21" s="14">
        <f t="shared" si="1"/>
        <v>2.5828032600000005E-2</v>
      </c>
      <c r="M21" s="15">
        <f t="shared" si="0"/>
        <v>2.3245229340000007E-2</v>
      </c>
    </row>
    <row r="24" spans="3:14" x14ac:dyDescent="0.2">
      <c r="C24" t="s">
        <v>41</v>
      </c>
    </row>
    <row r="25" spans="3:14" x14ac:dyDescent="0.2">
      <c r="C25" s="2" t="s">
        <v>38</v>
      </c>
      <c r="D25" s="3"/>
      <c r="E25" s="3"/>
      <c r="F25" s="3" t="s">
        <v>40</v>
      </c>
      <c r="G25" s="3"/>
      <c r="H25" s="3"/>
      <c r="I25" s="3"/>
      <c r="J25" s="3"/>
      <c r="K25" s="3"/>
      <c r="L25" s="3"/>
      <c r="M25" s="3"/>
      <c r="N25" s="4"/>
    </row>
    <row r="26" spans="3:14" x14ac:dyDescent="0.2">
      <c r="C26" s="2" t="s">
        <v>18</v>
      </c>
      <c r="D26" s="17">
        <v>0.5</v>
      </c>
      <c r="N26" s="6"/>
    </row>
    <row r="27" spans="3:14" x14ac:dyDescent="0.2">
      <c r="C27" s="13" t="s">
        <v>39</v>
      </c>
      <c r="D27" s="36">
        <v>1</v>
      </c>
      <c r="N27" s="6"/>
    </row>
    <row r="28" spans="3:14" x14ac:dyDescent="0.2">
      <c r="C28" s="5" t="s">
        <v>34</v>
      </c>
      <c r="N28" s="6"/>
    </row>
    <row r="29" spans="3:14" x14ac:dyDescent="0.2">
      <c r="C29" s="5" t="s">
        <v>3</v>
      </c>
      <c r="D29" s="10">
        <v>0</v>
      </c>
      <c r="E29" s="10">
        <v>1</v>
      </c>
      <c r="F29" s="10">
        <v>2</v>
      </c>
      <c r="G29" s="10">
        <v>3</v>
      </c>
      <c r="H29" s="10">
        <v>4</v>
      </c>
      <c r="I29" s="10">
        <v>5</v>
      </c>
      <c r="J29" s="10">
        <v>6</v>
      </c>
      <c r="K29" s="10">
        <v>7</v>
      </c>
      <c r="L29" s="10">
        <v>8</v>
      </c>
      <c r="M29" s="10">
        <v>9</v>
      </c>
      <c r="N29" s="16">
        <v>10</v>
      </c>
    </row>
    <row r="30" spans="3:14" x14ac:dyDescent="0.2">
      <c r="C30" s="5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>
        <f>(($D$26)/(1+M12))*M31</f>
        <v>2.3499022917638159E-4</v>
      </c>
    </row>
    <row r="31" spans="3:14" x14ac:dyDescent="0.2">
      <c r="C31" s="5"/>
      <c r="D31" s="34"/>
      <c r="E31" s="34"/>
      <c r="F31" s="34"/>
      <c r="G31" s="34"/>
      <c r="H31" s="34"/>
      <c r="I31" s="34"/>
      <c r="J31" s="34"/>
      <c r="K31" s="34"/>
      <c r="L31" s="34"/>
      <c r="M31" s="34">
        <f>(($D$26)/(1+L13))*L32</f>
        <v>6.154802144427156E-4</v>
      </c>
      <c r="N31" s="35">
        <f>((1-$D$26)/(1+M12))*M31+(($D$26)/(1+M13))*M32</f>
        <v>2.8630179294833291E-3</v>
      </c>
    </row>
    <row r="32" spans="3:14" x14ac:dyDescent="0.2">
      <c r="C32" s="5"/>
      <c r="D32" s="34"/>
      <c r="E32" s="34"/>
      <c r="F32" s="34"/>
      <c r="G32" s="34"/>
      <c r="H32" s="34"/>
      <c r="I32" s="34"/>
      <c r="J32" s="34"/>
      <c r="K32" s="34"/>
      <c r="L32" s="34">
        <f>(($D$26)/(1+K14))*K33</f>
        <v>1.5485347006380583E-3</v>
      </c>
      <c r="M32" s="34">
        <f t="shared" ref="M32:M39" si="8">((1-$D$26)/(1+L13))*L32+(($D$26)/(1+L14))*L33</f>
        <v>6.4764595129438926E-3</v>
      </c>
      <c r="N32" s="35">
        <f t="shared" ref="N32:N39" si="9">((1-$D$26)/(1+M13))*M32+(($D$26)/(1+M14))*M33</f>
        <v>1.5216826692689957E-2</v>
      </c>
    </row>
    <row r="33" spans="3:14" x14ac:dyDescent="0.2">
      <c r="C33" s="5"/>
      <c r="D33" s="34"/>
      <c r="E33" s="34"/>
      <c r="F33" s="34"/>
      <c r="G33" s="34"/>
      <c r="H33" s="34"/>
      <c r="I33" s="34"/>
      <c r="J33" s="34"/>
      <c r="K33" s="34">
        <f>(($D$26)/(1+J15))*J34</f>
        <v>3.7629109781713208E-3</v>
      </c>
      <c r="L33" s="34">
        <f t="shared" ref="L33:L39" si="10">((1-$D$26)/(1+K14))*K33+(($D$26)/(1+K15))*K34</f>
        <v>1.3990061034093738E-2</v>
      </c>
      <c r="M33" s="34">
        <f t="shared" si="8"/>
        <v>2.9562090029257845E-2</v>
      </c>
      <c r="N33" s="35">
        <f t="shared" si="9"/>
        <v>4.6700691055629157E-2</v>
      </c>
    </row>
    <row r="34" spans="3:14" x14ac:dyDescent="0.2">
      <c r="C34" s="5"/>
      <c r="D34" s="34"/>
      <c r="E34" s="34"/>
      <c r="F34" s="34"/>
      <c r="G34" s="34"/>
      <c r="H34" s="34"/>
      <c r="I34" s="34"/>
      <c r="J34" s="34">
        <f>(($D$26)/(1+I16))*I35</f>
        <v>8.8741409932519121E-3</v>
      </c>
      <c r="K34" s="34">
        <f t="shared" ref="K34:K39" si="11">((1-$D$26)/(1+J15))*J34+(($D$26)/(1+J16))*J35</f>
        <v>2.8895274112177308E-2</v>
      </c>
      <c r="L34" s="34">
        <f t="shared" si="10"/>
        <v>5.4281176019152159E-2</v>
      </c>
      <c r="M34" s="34">
        <f t="shared" si="8"/>
        <v>7.7134283817389834E-2</v>
      </c>
      <c r="N34" s="35">
        <f t="shared" si="9"/>
        <v>9.203973893988121E-2</v>
      </c>
    </row>
    <row r="35" spans="3:14" x14ac:dyDescent="0.2">
      <c r="C35" s="5"/>
      <c r="D35" s="34"/>
      <c r="E35" s="34"/>
      <c r="F35" s="34"/>
      <c r="G35" s="34"/>
      <c r="H35" s="34"/>
      <c r="I35" s="34">
        <f>(($D$26)/(1+H17))*H36</f>
        <v>2.0398086288463253E-2</v>
      </c>
      <c r="J35" s="34">
        <f t="shared" ref="J35:J39" si="12">((1-$D$26)/(1+I16))*I35+(($D$26)/(1+I17))*I36</f>
        <v>5.7018761346041835E-2</v>
      </c>
      <c r="K35" s="34">
        <f t="shared" si="11"/>
        <v>9.3798833858087627E-2</v>
      </c>
      <c r="L35" s="34">
        <f t="shared" si="10"/>
        <v>0.1184975849064077</v>
      </c>
      <c r="M35" s="34">
        <f t="shared" si="8"/>
        <v>0.12720436199919158</v>
      </c>
      <c r="N35" s="35">
        <f t="shared" si="9"/>
        <v>0.12214575309635395</v>
      </c>
    </row>
    <row r="36" spans="3:14" x14ac:dyDescent="0.2">
      <c r="C36" s="5"/>
      <c r="D36" s="34"/>
      <c r="E36" s="34"/>
      <c r="F36" s="34"/>
      <c r="G36" s="34"/>
      <c r="H36" s="34">
        <f>(($D$26)/(1+G18))*G37</f>
        <v>4.5871869184257397E-2</v>
      </c>
      <c r="I36" s="34">
        <f t="shared" ref="I36:I39" si="13">((1-$D$26)/(1+H17))*H36+(($D$26)/(1+H18))*H37</f>
        <v>0.10707117066004272</v>
      </c>
      <c r="J36" s="34">
        <f t="shared" si="12"/>
        <v>0.15117293779516716</v>
      </c>
      <c r="K36" s="34">
        <f t="shared" si="11"/>
        <v>0.16722150704997882</v>
      </c>
      <c r="L36" s="34">
        <f t="shared" si="10"/>
        <v>0.15958616439491002</v>
      </c>
      <c r="M36" s="34">
        <f t="shared" si="8"/>
        <v>0.13787152970363198</v>
      </c>
      <c r="N36" s="35">
        <f t="shared" si="9"/>
        <v>0.11086500498435692</v>
      </c>
    </row>
    <row r="37" spans="3:14" x14ac:dyDescent="0.2">
      <c r="C37" s="5"/>
      <c r="D37" s="34"/>
      <c r="E37" s="34"/>
      <c r="F37" s="34"/>
      <c r="G37" s="34">
        <f>(($D$26)/(1+F19))*F38</f>
        <v>0.10125572916256241</v>
      </c>
      <c r="H37" s="34">
        <f t="shared" ref="H37:H39" si="14">((1-$D$26)/(1+G18))*G37+(($D$26)/(1+G19))*G38</f>
        <v>0.18952144644092062</v>
      </c>
      <c r="I37" s="34">
        <f t="shared" si="13"/>
        <v>0.22336143592768409</v>
      </c>
      <c r="J37" s="34">
        <f t="shared" si="12"/>
        <v>0.21200818808221458</v>
      </c>
      <c r="K37" s="34">
        <f t="shared" si="11"/>
        <v>0.17713875237478233</v>
      </c>
      <c r="L37" s="34">
        <f t="shared" si="10"/>
        <v>0.1360493841202115</v>
      </c>
      <c r="M37" s="34">
        <f t="shared" si="8"/>
        <v>9.8434689422986943E-2</v>
      </c>
      <c r="N37" s="35">
        <f t="shared" si="9"/>
        <v>6.8122153527079482E-2</v>
      </c>
    </row>
    <row r="38" spans="3:14" x14ac:dyDescent="0.2">
      <c r="C38" s="5"/>
      <c r="D38" s="34"/>
      <c r="E38" s="34"/>
      <c r="F38" s="34">
        <f>(($D$26)/(1+E20))*E39</f>
        <v>0.22000844832441563</v>
      </c>
      <c r="G38" s="34">
        <f t="shared" ref="G38:G39" si="15">((1-$D$26)/(1+F19))*F38+(($D$26)/(1+F20))*F39</f>
        <v>0.30963953676828271</v>
      </c>
      <c r="H38" s="34">
        <f>((1-$D$26)/(1+G19))*G38+(($D$26)/(1+G20))*G39</f>
        <v>0.29250869830281412</v>
      </c>
      <c r="I38" s="34">
        <f t="shared" si="13"/>
        <v>0.23168806636001971</v>
      </c>
      <c r="J38" s="34">
        <f t="shared" si="12"/>
        <v>0.16607678860779385</v>
      </c>
      <c r="K38" s="34">
        <f t="shared" si="11"/>
        <v>0.1116626157555129</v>
      </c>
      <c r="L38" s="34">
        <f t="shared" si="10"/>
        <v>7.1821723666546128E-2</v>
      </c>
      <c r="M38" s="34">
        <f t="shared" si="8"/>
        <v>4.4725016451254512E-2</v>
      </c>
      <c r="N38" s="35">
        <f t="shared" si="9"/>
        <v>2.7175223214399739E-2</v>
      </c>
    </row>
    <row r="39" spans="3:14" x14ac:dyDescent="0.2">
      <c r="C39" s="5"/>
      <c r="D39" s="34"/>
      <c r="E39" s="34">
        <f>(($D$26)/(1+D21))*D40</f>
        <v>0.47169811320754712</v>
      </c>
      <c r="F39" s="34">
        <f>((1-$D$26)/(1+E20))*E39+(($D$26)/(1+E21))*E40</f>
        <v>0.44377415667714193</v>
      </c>
      <c r="G39" s="34">
        <f t="shared" si="15"/>
        <v>0.31508116997112479</v>
      </c>
      <c r="H39" s="34">
        <f t="shared" si="14"/>
        <v>0.19997211966908593</v>
      </c>
      <c r="I39" s="34">
        <f t="shared" si="13"/>
        <v>0.11958826139045681</v>
      </c>
      <c r="J39" s="34">
        <f t="shared" si="12"/>
        <v>6.8970516779493896E-2</v>
      </c>
      <c r="K39" s="34">
        <f t="shared" si="11"/>
        <v>3.883224528862976E-2</v>
      </c>
      <c r="L39" s="34">
        <f t="shared" si="10"/>
        <v>2.149699032447883E-2</v>
      </c>
      <c r="M39" s="34">
        <f t="shared" si="8"/>
        <v>1.175367483176297E-2</v>
      </c>
      <c r="N39" s="35">
        <f t="shared" si="9"/>
        <v>6.3661901314832304E-3</v>
      </c>
    </row>
    <row r="40" spans="3:14" x14ac:dyDescent="0.2">
      <c r="C40" s="5"/>
      <c r="D40" s="34">
        <f>D27</f>
        <v>1</v>
      </c>
      <c r="E40" s="34">
        <f>((1-$D$26)/(1+D21))*D40</f>
        <v>0.47169811320754712</v>
      </c>
      <c r="F40" s="34">
        <f t="shared" ref="F40:N40" si="16">((1-$D$26)/(1+E21))*E40</f>
        <v>0.22376570835272633</v>
      </c>
      <c r="G40" s="34">
        <f t="shared" si="16"/>
        <v>0.1066973623654045</v>
      </c>
      <c r="H40" s="34">
        <f t="shared" si="16"/>
        <v>5.1112998622935064E-2</v>
      </c>
      <c r="I40" s="34">
        <f t="shared" si="16"/>
        <v>2.4588546586541731E-2</v>
      </c>
      <c r="J40" s="34">
        <f t="shared" si="16"/>
        <v>1.1873598811537383E-2</v>
      </c>
      <c r="K40" s="34">
        <f t="shared" si="16"/>
        <v>5.7533455820020082E-3</v>
      </c>
      <c r="L40" s="34">
        <f t="shared" si="16"/>
        <v>2.7964216039453975E-3</v>
      </c>
      <c r="M40" s="34">
        <f t="shared" si="16"/>
        <v>1.363007012421839E-3</v>
      </c>
      <c r="N40" s="35">
        <f t="shared" si="16"/>
        <v>6.6602167952495002E-4</v>
      </c>
    </row>
    <row r="41" spans="3:14" x14ac:dyDescent="0.2">
      <c r="C41" s="5" t="s">
        <v>35</v>
      </c>
      <c r="D41">
        <v>0</v>
      </c>
      <c r="E41">
        <v>1</v>
      </c>
      <c r="F41">
        <v>2</v>
      </c>
      <c r="G41">
        <v>3</v>
      </c>
      <c r="H41">
        <v>4</v>
      </c>
      <c r="I41">
        <v>5</v>
      </c>
      <c r="J41">
        <v>6</v>
      </c>
      <c r="K41">
        <v>7</v>
      </c>
      <c r="L41">
        <v>8</v>
      </c>
      <c r="M41">
        <v>9</v>
      </c>
      <c r="N41" s="6">
        <v>10</v>
      </c>
    </row>
    <row r="42" spans="3:14" x14ac:dyDescent="0.2">
      <c r="C42" s="5" t="s">
        <v>36</v>
      </c>
      <c r="D42" s="34">
        <f>SUM(D30:D40)</f>
        <v>1</v>
      </c>
      <c r="E42" s="34">
        <f>SUM(E30:E40)</f>
        <v>0.94339622641509424</v>
      </c>
      <c r="F42" s="34">
        <f t="shared" ref="F42:N42" si="17">SUM(F30:F40)</f>
        <v>0.88754831335428397</v>
      </c>
      <c r="G42" s="34">
        <f t="shared" si="17"/>
        <v>0.83267379826737442</v>
      </c>
      <c r="H42" s="34">
        <f t="shared" si="17"/>
        <v>0.77898713222001315</v>
      </c>
      <c r="I42" s="34">
        <f t="shared" si="17"/>
        <v>0.72669556721320838</v>
      </c>
      <c r="J42" s="34">
        <f t="shared" si="17"/>
        <v>0.67599493241550068</v>
      </c>
      <c r="K42" s="34">
        <f t="shared" si="17"/>
        <v>0.627065484999342</v>
      </c>
      <c r="L42" s="34">
        <f t="shared" si="17"/>
        <v>0.58006804077038354</v>
      </c>
      <c r="M42" s="34">
        <f t="shared" si="17"/>
        <v>0.53514059299528405</v>
      </c>
      <c r="N42" s="35">
        <f t="shared" si="17"/>
        <v>0.49239561148005828</v>
      </c>
    </row>
    <row r="43" spans="3:14" x14ac:dyDescent="0.2">
      <c r="C43" s="13" t="s">
        <v>37</v>
      </c>
      <c r="D43" s="14">
        <f>D21</f>
        <v>0.06</v>
      </c>
      <c r="E43" s="14">
        <f>E42^(-1/E41)-1</f>
        <v>6.0000000000000053E-2</v>
      </c>
      <c r="F43" s="14">
        <f t="shared" ref="F43:N43" si="18">F42^(-1/F41)-1</f>
        <v>6.1460893579366349E-2</v>
      </c>
      <c r="G43" s="14">
        <f t="shared" si="18"/>
        <v>6.2939061427014442E-2</v>
      </c>
      <c r="H43" s="14">
        <f t="shared" si="18"/>
        <v>6.4430791167313206E-2</v>
      </c>
      <c r="I43" s="14">
        <f t="shared" si="18"/>
        <v>6.5931994044003961E-2</v>
      </c>
      <c r="J43" s="14">
        <f t="shared" si="18"/>
        <v>6.7438247386269135E-2</v>
      </c>
      <c r="K43" s="14">
        <f t="shared" si="18"/>
        <v>6.8944852891041686E-2</v>
      </c>
      <c r="L43" s="14">
        <f t="shared" si="18"/>
        <v>7.0446909637297717E-2</v>
      </c>
      <c r="M43" s="14">
        <f t="shared" si="18"/>
        <v>7.1939399424038264E-2</v>
      </c>
      <c r="N43" s="15">
        <f t="shared" si="18"/>
        <v>7.3417280764447534E-2</v>
      </c>
    </row>
    <row r="45" spans="3:14" x14ac:dyDescent="0.2">
      <c r="C45" t="s">
        <v>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52C8-70CC-9E4C-9AA0-CDFFCEB8CA05}">
  <dimension ref="C2:L38"/>
  <sheetViews>
    <sheetView topLeftCell="A3" workbookViewId="0">
      <selection activeCell="L30" sqref="L30"/>
    </sheetView>
  </sheetViews>
  <sheetFormatPr baseColWidth="10" defaultRowHeight="16" x14ac:dyDescent="0.2"/>
  <cols>
    <col min="3" max="3" width="15.6640625" customWidth="1"/>
  </cols>
  <sheetData>
    <row r="2" spans="3:12" x14ac:dyDescent="0.2">
      <c r="C2" s="31" t="s">
        <v>13</v>
      </c>
      <c r="D2" s="33" t="s">
        <v>45</v>
      </c>
      <c r="E2" s="32"/>
      <c r="F2" s="32"/>
      <c r="G2" s="32"/>
      <c r="H2" s="32"/>
      <c r="I2" s="32"/>
      <c r="J2" s="33"/>
    </row>
    <row r="3" spans="3:12" x14ac:dyDescent="0.2">
      <c r="C3" s="5" t="s">
        <v>15</v>
      </c>
      <c r="D3" s="18">
        <v>7.0000000000000007E-2</v>
      </c>
      <c r="J3" s="6"/>
    </row>
    <row r="4" spans="3:12" x14ac:dyDescent="0.2">
      <c r="C4" s="5" t="s">
        <v>16</v>
      </c>
      <c r="D4" s="18">
        <v>1.3</v>
      </c>
      <c r="J4" s="6"/>
    </row>
    <row r="5" spans="3:12" x14ac:dyDescent="0.2">
      <c r="C5" s="13" t="s">
        <v>17</v>
      </c>
      <c r="D5" s="36">
        <v>0.9</v>
      </c>
      <c r="J5" s="6"/>
    </row>
    <row r="6" spans="3:12" x14ac:dyDescent="0.2">
      <c r="C6" s="5" t="s">
        <v>3</v>
      </c>
      <c r="D6" s="10">
        <v>0</v>
      </c>
      <c r="E6" s="10">
        <v>1</v>
      </c>
      <c r="F6" s="10">
        <v>2</v>
      </c>
      <c r="G6" s="10">
        <v>3</v>
      </c>
      <c r="H6" s="10">
        <v>4</v>
      </c>
      <c r="I6" s="10">
        <v>5</v>
      </c>
      <c r="J6" s="16">
        <v>6</v>
      </c>
    </row>
    <row r="7" spans="3:12" x14ac:dyDescent="0.2">
      <c r="C7" s="5"/>
      <c r="J7" s="6">
        <f>I8*D4</f>
        <v>0.33787663000000007</v>
      </c>
    </row>
    <row r="8" spans="3:12" x14ac:dyDescent="0.2">
      <c r="C8" s="5"/>
      <c r="I8">
        <f>H9*$D$4</f>
        <v>0.25990510000000006</v>
      </c>
      <c r="J8" s="6">
        <f>I8*$D$5</f>
        <v>0.23391459000000006</v>
      </c>
    </row>
    <row r="9" spans="3:12" x14ac:dyDescent="0.2">
      <c r="C9" s="5"/>
      <c r="H9">
        <f>G10*$D$4</f>
        <v>0.19992700000000005</v>
      </c>
      <c r="I9">
        <f>H9*$D$5</f>
        <v>0.17993430000000005</v>
      </c>
      <c r="J9" s="6">
        <f>I9*$D$5</f>
        <v>0.16194087000000004</v>
      </c>
    </row>
    <row r="10" spans="3:12" x14ac:dyDescent="0.2">
      <c r="C10" s="5"/>
      <c r="G10">
        <f>F11*$D$4</f>
        <v>0.15379000000000004</v>
      </c>
      <c r="H10">
        <f t="shared" ref="F10:J13" si="0">G10*$D$5</f>
        <v>0.13841100000000003</v>
      </c>
      <c r="I10">
        <f t="shared" si="0"/>
        <v>0.12456990000000004</v>
      </c>
      <c r="J10" s="6">
        <f t="shared" si="0"/>
        <v>0.11211291000000004</v>
      </c>
    </row>
    <row r="11" spans="3:12" x14ac:dyDescent="0.2">
      <c r="C11" s="5"/>
      <c r="F11">
        <f>E12*$D$4</f>
        <v>0.11830000000000002</v>
      </c>
      <c r="G11">
        <f t="shared" ref="G11:J11" si="1">F11*$D$5</f>
        <v>0.10647000000000002</v>
      </c>
      <c r="H11">
        <f t="shared" si="1"/>
        <v>9.5823000000000019E-2</v>
      </c>
      <c r="I11">
        <f>H11*$D$5</f>
        <v>8.6240700000000017E-2</v>
      </c>
      <c r="J11" s="6">
        <f t="shared" si="1"/>
        <v>7.761663000000002E-2</v>
      </c>
    </row>
    <row r="12" spans="3:12" x14ac:dyDescent="0.2">
      <c r="C12" s="5"/>
      <c r="E12">
        <f>D13*$D$4</f>
        <v>9.1000000000000011E-2</v>
      </c>
      <c r="F12">
        <f t="shared" si="0"/>
        <v>8.1900000000000014E-2</v>
      </c>
      <c r="G12">
        <f t="shared" ref="G12:J12" si="2">F12*$D$5</f>
        <v>7.3710000000000012E-2</v>
      </c>
      <c r="H12">
        <f>G12*$D$5</f>
        <v>6.6339000000000009E-2</v>
      </c>
      <c r="I12">
        <f>H12*$D$5</f>
        <v>5.9705100000000011E-2</v>
      </c>
      <c r="J12" s="6">
        <f t="shared" si="2"/>
        <v>5.3734590000000013E-2</v>
      </c>
    </row>
    <row r="13" spans="3:12" x14ac:dyDescent="0.2">
      <c r="C13" s="13"/>
      <c r="D13" s="14">
        <f>D3</f>
        <v>7.0000000000000007E-2</v>
      </c>
      <c r="E13" s="14">
        <f>D13*$D$5</f>
        <v>6.3000000000000014E-2</v>
      </c>
      <c r="F13" s="14">
        <f t="shared" si="0"/>
        <v>5.6700000000000014E-2</v>
      </c>
      <c r="G13" s="14">
        <f t="shared" si="0"/>
        <v>5.1030000000000013E-2</v>
      </c>
      <c r="H13" s="14">
        <f t="shared" si="0"/>
        <v>4.5927000000000009E-2</v>
      </c>
      <c r="I13" s="14">
        <f t="shared" si="0"/>
        <v>4.1334300000000011E-2</v>
      </c>
      <c r="J13" s="15">
        <f>I13*$D$5</f>
        <v>3.7200870000000011E-2</v>
      </c>
    </row>
    <row r="14" spans="3:12" x14ac:dyDescent="0.2">
      <c r="L14" t="s">
        <v>47</v>
      </c>
    </row>
    <row r="15" spans="3:12" x14ac:dyDescent="0.2">
      <c r="C15" s="31" t="s">
        <v>43</v>
      </c>
      <c r="D15" s="32"/>
      <c r="E15" s="32" t="s">
        <v>46</v>
      </c>
      <c r="F15" s="32"/>
      <c r="G15" s="32"/>
      <c r="H15" s="32"/>
      <c r="I15" s="32"/>
      <c r="J15" s="33"/>
    </row>
    <row r="16" spans="3:12" x14ac:dyDescent="0.2">
      <c r="C16" s="2" t="s">
        <v>252</v>
      </c>
      <c r="D16" s="17">
        <v>100</v>
      </c>
      <c r="J16" s="6"/>
    </row>
    <row r="17" spans="3:12" x14ac:dyDescent="0.2">
      <c r="C17" s="13" t="s">
        <v>253</v>
      </c>
      <c r="D17" s="36">
        <v>0.5</v>
      </c>
      <c r="J17" s="6"/>
      <c r="L17" t="s">
        <v>48</v>
      </c>
    </row>
    <row r="18" spans="3:12" x14ac:dyDescent="0.2">
      <c r="C18" s="5" t="s">
        <v>3</v>
      </c>
      <c r="D18" s="10">
        <v>0</v>
      </c>
      <c r="E18" s="10">
        <v>1</v>
      </c>
      <c r="F18" s="10">
        <v>2</v>
      </c>
      <c r="G18" s="10">
        <v>3</v>
      </c>
      <c r="H18" s="10">
        <v>4</v>
      </c>
      <c r="I18" s="10">
        <v>5</v>
      </c>
      <c r="J18" s="16">
        <v>6</v>
      </c>
    </row>
    <row r="19" spans="3:12" x14ac:dyDescent="0.2">
      <c r="C19" s="5"/>
      <c r="J19" s="6">
        <f t="shared" ref="J19:J24" si="3">$D$16*J7/(1+J7)</f>
        <v>25.254692579539274</v>
      </c>
    </row>
    <row r="20" spans="3:12" x14ac:dyDescent="0.2">
      <c r="C20" s="5"/>
      <c r="I20">
        <f t="shared" ref="I20" si="4">($D$16*I8+$D$17*J19+(1-$D$17)*J20)/(1+I8)</f>
        <v>38.174631618960959</v>
      </c>
      <c r="J20" s="6">
        <f t="shared" si="3"/>
        <v>18.957113555161062</v>
      </c>
    </row>
    <row r="21" spans="3:12" x14ac:dyDescent="0.2">
      <c r="C21" s="5"/>
      <c r="H21">
        <f t="shared" ref="H21:I21" si="5">($D$16*H9+$D$17*I20+(1-$D$17)*I21)/(1+H9)</f>
        <v>44.731284769464118</v>
      </c>
      <c r="I21">
        <f t="shared" si="5"/>
        <v>29.188521060176569</v>
      </c>
      <c r="J21" s="6">
        <f>$D$16*J9/(1+J9)</f>
        <v>13.93710077518833</v>
      </c>
    </row>
    <row r="22" spans="3:12" x14ac:dyDescent="0.2">
      <c r="C22" s="5"/>
      <c r="G22">
        <f t="shared" ref="G22:I22" si="6">($D$16*G10+$D$17*H21+(1-$D$17)*H22)/(1+G10)</f>
        <v>47.67886610790395</v>
      </c>
      <c r="H22">
        <f t="shared" si="6"/>
        <v>34.533513083812892</v>
      </c>
      <c r="I22">
        <f t="shared" si="6"/>
        <v>21.755941266336457</v>
      </c>
      <c r="J22" s="6">
        <f>$D$16*J10/(1+J10)</f>
        <v>10.08107261339139</v>
      </c>
    </row>
    <row r="23" spans="3:12" x14ac:dyDescent="0.2">
      <c r="C23" s="5"/>
      <c r="F23">
        <f t="shared" ref="F23:I23" si="7">($D$16*F11+$D$17*G22+(1-$D$17)*G23)/(1+F11)</f>
        <v>48.413322195810899</v>
      </c>
      <c r="G23">
        <f t="shared" si="7"/>
        <v>36.942370315246706</v>
      </c>
      <c r="H23">
        <f t="shared" si="7"/>
        <v>25.923735881609154</v>
      </c>
      <c r="I23">
        <f t="shared" si="7"/>
        <v>15.895110783648722</v>
      </c>
      <c r="J23" s="6">
        <f t="shared" si="3"/>
        <v>7.2026199150248837</v>
      </c>
    </row>
    <row r="24" spans="3:12" x14ac:dyDescent="0.2">
      <c r="C24" s="5"/>
      <c r="E24">
        <f t="shared" ref="E24:I25" si="8">($D$16*E12+$D$17*F23+(1-$D$17)*F24)/(1+E12)</f>
        <v>47.710885643533452</v>
      </c>
      <c r="F24">
        <f t="shared" ref="F24:I24" si="9">($D$16*F12+$D$17*G23+(1-$D$17)*G24)/(1+F12)</f>
        <v>37.491830278379098</v>
      </c>
      <c r="G24">
        <f t="shared" si="9"/>
        <v>27.802452041110001</v>
      </c>
      <c r="H24">
        <f t="shared" si="9"/>
        <v>19.037805680511273</v>
      </c>
      <c r="I24">
        <f t="shared" si="9"/>
        <v>11.438598559452696</v>
      </c>
      <c r="J24" s="6">
        <f t="shared" si="3"/>
        <v>5.0994425455844645</v>
      </c>
    </row>
    <row r="25" spans="3:12" x14ac:dyDescent="0.2">
      <c r="C25" s="13"/>
      <c r="D25" s="14">
        <f>($D$16*D13+$D$17*E24+(1-$D$17)*E25)/(1+D13)</f>
        <v>46.045009826162087</v>
      </c>
      <c r="E25" s="14">
        <f t="shared" si="8"/>
        <v>36.825435384453428</v>
      </c>
      <c r="F25" s="14">
        <f t="shared" si="8"/>
        <v>28.199045348968895</v>
      </c>
      <c r="G25" s="14">
        <f t="shared" si="8"/>
        <v>20.453410399400855</v>
      </c>
      <c r="H25" s="14">
        <f t="shared" si="8"/>
        <v>13.75049018365328</v>
      </c>
      <c r="I25" s="14">
        <f t="shared" si="8"/>
        <v>8.140019333183151</v>
      </c>
      <c r="J25" s="15">
        <f>$D$16*J13/(1+J13)</f>
        <v>3.5866601230290152</v>
      </c>
    </row>
    <row r="28" spans="3:12" x14ac:dyDescent="0.2">
      <c r="C28" s="28" t="s">
        <v>251</v>
      </c>
      <c r="D28" s="29"/>
      <c r="E28" s="32"/>
      <c r="F28" s="32"/>
      <c r="G28" s="32"/>
      <c r="H28" s="32"/>
      <c r="I28" s="32"/>
      <c r="J28" s="33"/>
    </row>
    <row r="29" spans="3:12" x14ac:dyDescent="0.2">
      <c r="C29" s="2" t="s">
        <v>253</v>
      </c>
      <c r="D29" s="17">
        <v>0.5</v>
      </c>
      <c r="J29" s="6"/>
    </row>
    <row r="30" spans="3:12" x14ac:dyDescent="0.2">
      <c r="C30" s="13" t="s">
        <v>44</v>
      </c>
      <c r="D30" s="36">
        <v>9.214E-2</v>
      </c>
      <c r="J30" s="6"/>
    </row>
    <row r="31" spans="3:12" x14ac:dyDescent="0.2">
      <c r="C31" s="5" t="s">
        <v>3</v>
      </c>
      <c r="D31" s="10">
        <v>0</v>
      </c>
      <c r="E31" s="10">
        <v>1</v>
      </c>
      <c r="F31" s="10">
        <v>2</v>
      </c>
      <c r="G31" s="10">
        <v>3</v>
      </c>
      <c r="H31" s="10">
        <v>4</v>
      </c>
      <c r="I31" s="10">
        <v>5</v>
      </c>
      <c r="J31" s="16">
        <v>6</v>
      </c>
    </row>
    <row r="32" spans="3:12" x14ac:dyDescent="0.2">
      <c r="C32" s="5"/>
      <c r="J32" s="6">
        <f t="shared" ref="J32:J38" si="10">100*$D$30/(1+$D$30)</f>
        <v>8.4366473162781332</v>
      </c>
    </row>
    <row r="33" spans="3:10" x14ac:dyDescent="0.2">
      <c r="C33" s="5"/>
      <c r="I33">
        <f t="shared" ref="I33:I38" si="11">($D$16*$D$30+$D$29*J32+(1-$D$29)*J33)/(1+$D$30)</f>
        <v>16.161524453163633</v>
      </c>
      <c r="J33" s="6">
        <f t="shared" si="10"/>
        <v>8.4366473162781332</v>
      </c>
    </row>
    <row r="34" spans="3:10" x14ac:dyDescent="0.2">
      <c r="C34" s="5"/>
      <c r="H34">
        <f>($D$16*$D$30+$D$29*I33+(1-$D$29)*I34)/(1+$D$30)</f>
        <v>23.234680950394303</v>
      </c>
      <c r="I34">
        <f t="shared" si="11"/>
        <v>16.161524453163633</v>
      </c>
      <c r="J34" s="6">
        <f t="shared" si="10"/>
        <v>8.4366473162781332</v>
      </c>
    </row>
    <row r="35" spans="3:10" x14ac:dyDescent="0.2">
      <c r="C35" s="5"/>
      <c r="G35">
        <f>($D$16*$D$30+$D$29*H34+(1-$D$29)*H35)/(1+$D$30)</f>
        <v>29.711100179825205</v>
      </c>
      <c r="H35">
        <f>($D$16*$D$30+$D$29*I34+(1-$D$29)*I35)/(1+$D$30)</f>
        <v>23.234680950394303</v>
      </c>
      <c r="I35">
        <f t="shared" si="11"/>
        <v>16.161524453163633</v>
      </c>
      <c r="J35" s="6">
        <f t="shared" si="10"/>
        <v>8.4366473162781332</v>
      </c>
    </row>
    <row r="36" spans="3:10" x14ac:dyDescent="0.2">
      <c r="C36" s="5"/>
      <c r="F36">
        <f>($D$16*$D$30+$D$29*G35+(1-$D$29)*G36)/(1+$D$30)</f>
        <v>35.641126760145404</v>
      </c>
      <c r="G36">
        <f>($D$16*$D$30+$D$29*H35+(1-$D$29)*H36)/(1+$D$30)</f>
        <v>29.711100179825205</v>
      </c>
      <c r="H36">
        <f>($D$16*$D$30+$D$29*I35+(1-$D$29)*I36)/(1+$D$30)</f>
        <v>23.234680950394303</v>
      </c>
      <c r="I36">
        <f t="shared" si="11"/>
        <v>16.161524453163633</v>
      </c>
      <c r="J36" s="6">
        <f t="shared" si="10"/>
        <v>8.4366473162781332</v>
      </c>
    </row>
    <row r="37" spans="3:10" x14ac:dyDescent="0.2">
      <c r="C37" s="5"/>
      <c r="E37">
        <f>($D$16*$D$30+$D$29*F36+(1-$D$29)*F37)/(1+$D$30)</f>
        <v>41.070857912122442</v>
      </c>
      <c r="F37">
        <f>($D$16*$D$30+$D$29*G36+(1-$D$29)*G37)/(1+$D$30)</f>
        <v>35.641126760145404</v>
      </c>
      <c r="G37">
        <f>($D$16*$D$30+$D$29*H36+(1-$D$29)*H37)/(1+$D$30)</f>
        <v>29.711100179825205</v>
      </c>
      <c r="H37">
        <f>($D$16*$D$30+$D$29*I36+(1-$D$29)*I37)/(1+$D$30)</f>
        <v>23.234680950394303</v>
      </c>
      <c r="I37">
        <f t="shared" si="11"/>
        <v>16.161524453163633</v>
      </c>
      <c r="J37" s="6">
        <f t="shared" si="10"/>
        <v>8.4366473162781332</v>
      </c>
    </row>
    <row r="38" spans="3:10" x14ac:dyDescent="0.2">
      <c r="C38" s="13"/>
      <c r="D38" s="14">
        <f>($D$16*$D$30+$D$29*E37+(1-$D$29)*E38)/(1+$D$30)</f>
        <v>46.042501796585093</v>
      </c>
      <c r="E38" s="14">
        <f>($D$16*$D$30+$D$29*F37+(1-$D$29)*F38)/(1+$D$30)</f>
        <v>41.070857912122442</v>
      </c>
      <c r="F38" s="14">
        <f>($D$16*$D$30+$D$29*G37+(1-$D$29)*G38)/(1+$D$30)</f>
        <v>35.641126760145404</v>
      </c>
      <c r="G38" s="14">
        <f>($D$16*$D$30+$D$29*H37+(1-$D$29)*H38)/(1+$D$30)</f>
        <v>29.711100179825205</v>
      </c>
      <c r="H38" s="14">
        <f>($D$16*$D$30+$D$29*I37+(1-$D$29)*I38)/(1+$D$30)</f>
        <v>23.234680950394303</v>
      </c>
      <c r="I38" s="14">
        <f t="shared" si="11"/>
        <v>16.161524453163633</v>
      </c>
      <c r="J38" s="15">
        <f t="shared" si="10"/>
        <v>8.4366473162781332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AD3D-817D-2A40-8E47-7900200FC97C}">
  <dimension ref="D5:AH68"/>
  <sheetViews>
    <sheetView topLeftCell="H23" zoomScale="75" workbookViewId="0">
      <selection activeCell="P74" sqref="P74"/>
    </sheetView>
  </sheetViews>
  <sheetFormatPr baseColWidth="10" defaultRowHeight="16" x14ac:dyDescent="0.2"/>
  <cols>
    <col min="4" max="4" width="13" customWidth="1"/>
    <col min="5" max="5" width="12.83203125" customWidth="1"/>
    <col min="6" max="7" width="11" bestFit="1" customWidth="1"/>
    <col min="8" max="8" width="13" customWidth="1"/>
    <col min="9" max="9" width="12.83203125" customWidth="1"/>
    <col min="10" max="10" width="12.1640625" customWidth="1"/>
    <col min="11" max="11" width="11" bestFit="1" customWidth="1"/>
    <col min="13" max="16" width="11" bestFit="1" customWidth="1"/>
    <col min="17" max="17" width="12.6640625" customWidth="1"/>
    <col min="18" max="18" width="13.83203125" customWidth="1"/>
    <col min="19" max="19" width="12" customWidth="1"/>
    <col min="20" max="20" width="11" bestFit="1" customWidth="1"/>
    <col min="21" max="21" width="14.33203125" customWidth="1"/>
    <col min="22" max="22" width="12.6640625" bestFit="1" customWidth="1"/>
    <col min="23" max="25" width="11" bestFit="1" customWidth="1"/>
    <col min="26" max="26" width="16.83203125" customWidth="1"/>
  </cols>
  <sheetData>
    <row r="5" spans="4:32" x14ac:dyDescent="0.2">
      <c r="D5" s="31" t="s">
        <v>51</v>
      </c>
      <c r="E5" s="32"/>
      <c r="F5" s="32"/>
      <c r="G5" s="33"/>
      <c r="J5" s="31" t="s">
        <v>49</v>
      </c>
      <c r="K5" s="33"/>
      <c r="M5" s="31" t="s">
        <v>62</v>
      </c>
      <c r="N5" s="32"/>
      <c r="O5" s="32"/>
      <c r="P5" s="33"/>
      <c r="S5" s="31" t="s">
        <v>137</v>
      </c>
      <c r="T5" s="33"/>
      <c r="V5" s="31" t="s">
        <v>104</v>
      </c>
      <c r="W5" s="32"/>
      <c r="X5" s="32"/>
      <c r="Y5" s="33"/>
      <c r="AC5" s="31" t="s">
        <v>223</v>
      </c>
      <c r="AD5" s="29"/>
      <c r="AE5" s="29"/>
      <c r="AF5" s="30"/>
    </row>
    <row r="6" spans="4:32" x14ac:dyDescent="0.2">
      <c r="D6" s="2" t="s">
        <v>50</v>
      </c>
      <c r="E6" s="17">
        <v>3.5000000000000003E-2</v>
      </c>
      <c r="G6" s="6"/>
      <c r="J6" s="5" t="s">
        <v>55</v>
      </c>
      <c r="K6" s="18">
        <v>55</v>
      </c>
      <c r="M6" s="5" t="s">
        <v>3</v>
      </c>
      <c r="N6" s="22">
        <v>0</v>
      </c>
      <c r="O6" s="22">
        <v>1</v>
      </c>
      <c r="P6" s="23">
        <v>2</v>
      </c>
      <c r="R6" s="46" t="s">
        <v>107</v>
      </c>
      <c r="S6" s="5" t="s">
        <v>55</v>
      </c>
      <c r="T6" s="18">
        <v>95</v>
      </c>
      <c r="V6" s="5" t="s">
        <v>3</v>
      </c>
      <c r="W6" s="22">
        <v>0</v>
      </c>
      <c r="X6" s="22">
        <v>1</v>
      </c>
      <c r="Y6" s="23">
        <v>2</v>
      </c>
      <c r="AC6" s="2" t="s">
        <v>3</v>
      </c>
      <c r="AD6" s="45">
        <v>0</v>
      </c>
      <c r="AE6" s="45">
        <v>1</v>
      </c>
      <c r="AF6" s="41">
        <v>2</v>
      </c>
    </row>
    <row r="7" spans="4:32" x14ac:dyDescent="0.2">
      <c r="D7" s="5" t="s">
        <v>52</v>
      </c>
      <c r="E7" s="6">
        <f>F13/E14</f>
        <v>1.3</v>
      </c>
      <c r="G7" s="6"/>
      <c r="J7" s="5" t="s">
        <v>56</v>
      </c>
      <c r="K7" s="19">
        <v>2</v>
      </c>
      <c r="M7" s="5"/>
      <c r="P7" s="6">
        <f>MAX(G12-K6,0)</f>
        <v>114</v>
      </c>
      <c r="S7" s="5" t="s">
        <v>56</v>
      </c>
      <c r="T7" s="19">
        <v>2</v>
      </c>
      <c r="V7" s="5"/>
      <c r="Y7" s="6">
        <f>MAX(G12-$T$6,0)</f>
        <v>74</v>
      </c>
      <c r="AC7" s="5"/>
      <c r="AF7" s="6">
        <f>G12</f>
        <v>169</v>
      </c>
    </row>
    <row r="8" spans="4:32" x14ac:dyDescent="0.2">
      <c r="D8" s="5" t="s">
        <v>53</v>
      </c>
      <c r="E8" s="6">
        <f>F14/E14</f>
        <v>0.76919999999999999</v>
      </c>
      <c r="G8" s="6"/>
      <c r="J8" s="5" t="s">
        <v>68</v>
      </c>
      <c r="K8" s="6">
        <f>(K9*E9^2+2*K10*E9*E10+K11*E10^2)/((1+E6)^K7)</f>
        <v>48.659508164963007</v>
      </c>
      <c r="M8" s="5"/>
      <c r="O8">
        <f>(E9*P7+E10*P8)/(1+E6)</f>
        <v>76.861832836407714</v>
      </c>
      <c r="P8" s="6">
        <f>MAX(G13-K6,0)</f>
        <v>45</v>
      </c>
      <c r="S8" s="5" t="s">
        <v>68</v>
      </c>
      <c r="T8" s="6">
        <f>W9</f>
        <v>19.655815750796929</v>
      </c>
      <c r="V8" s="5"/>
      <c r="X8">
        <f>MAX((($E$9*Y7+$E$10*Y8)/(1+$E$6)),0,(F13-$T$6))</f>
        <v>38.214489841238624</v>
      </c>
      <c r="Y8" s="6">
        <f t="shared" ref="Y8:Y9" si="0">MAX(G13-$T$6,0)</f>
        <v>5</v>
      </c>
      <c r="AC8" s="5"/>
      <c r="AE8">
        <f>AF7*$E$9+AF8*$E$10</f>
        <v>134.55199698568197</v>
      </c>
      <c r="AF8" s="6">
        <f>G13</f>
        <v>100</v>
      </c>
    </row>
    <row r="9" spans="4:32" x14ac:dyDescent="0.2">
      <c r="D9" s="5" t="s">
        <v>60</v>
      </c>
      <c r="E9" s="6">
        <f>(1+E6-E8)/(E7-E8)</f>
        <v>0.50075357950263732</v>
      </c>
      <c r="G9" s="6"/>
      <c r="J9" s="5" t="s">
        <v>57</v>
      </c>
      <c r="K9" s="6">
        <f>MAX(G12-K6,0)</f>
        <v>114</v>
      </c>
      <c r="M9" s="13"/>
      <c r="N9" s="14">
        <f>(E9*O8+E10*O9)/(1+E6)</f>
        <v>48.659508164963</v>
      </c>
      <c r="O9" s="14">
        <f>(E9*P8+E10*P9)/(1+E6)</f>
        <v>23.783351353712739</v>
      </c>
      <c r="P9" s="15">
        <f>MAX(G14-K6,0)</f>
        <v>4.1700000000000017</v>
      </c>
      <c r="S9" s="5" t="s">
        <v>57</v>
      </c>
      <c r="T9" s="6">
        <f>Y7</f>
        <v>74</v>
      </c>
      <c r="V9" s="13"/>
      <c r="W9" s="14">
        <f>MAX((($E$9*X8+$E$10*X9)/(1+$E$6)),0,(E14-$T$6))</f>
        <v>19.655815750796929</v>
      </c>
      <c r="X9" s="14">
        <f>MAX((($E$9*Y8+$E$10*Y9)/(1+$E$6)),0,(F14-$T$6))</f>
        <v>2.419099417887137</v>
      </c>
      <c r="Y9" s="15">
        <f t="shared" si="0"/>
        <v>0</v>
      </c>
      <c r="AC9" s="13"/>
      <c r="AD9" s="14">
        <f>AE8*$E$9+AE9*$E$10</f>
        <v>107.12528163401248</v>
      </c>
      <c r="AE9" s="14">
        <f>AF8*$E$9+AF9*$E$10</f>
        <v>79.615768651092679</v>
      </c>
      <c r="AF9" s="15">
        <f>G14</f>
        <v>59.17</v>
      </c>
    </row>
    <row r="10" spans="4:32" x14ac:dyDescent="0.2">
      <c r="D10" s="13" t="s">
        <v>54</v>
      </c>
      <c r="E10" s="15">
        <f>1-E9</f>
        <v>0.49924642049736268</v>
      </c>
      <c r="G10" s="6"/>
      <c r="J10" s="5" t="s">
        <v>58</v>
      </c>
      <c r="K10" s="6">
        <f>MAX(G13-K6,0)</f>
        <v>45</v>
      </c>
      <c r="S10" s="5" t="s">
        <v>58</v>
      </c>
      <c r="T10" s="6">
        <f>Y8</f>
        <v>5</v>
      </c>
    </row>
    <row r="11" spans="4:32" x14ac:dyDescent="0.2">
      <c r="D11" s="5" t="s">
        <v>3</v>
      </c>
      <c r="E11" s="22">
        <v>0</v>
      </c>
      <c r="F11" s="22">
        <v>1</v>
      </c>
      <c r="G11" s="23">
        <v>2</v>
      </c>
      <c r="J11" s="13" t="s">
        <v>59</v>
      </c>
      <c r="K11" s="15">
        <f>MAX(G14-K6,0)</f>
        <v>4.1700000000000017</v>
      </c>
      <c r="S11" s="13" t="s">
        <v>59</v>
      </c>
      <c r="T11" s="15">
        <f>Y9</f>
        <v>0</v>
      </c>
    </row>
    <row r="12" spans="4:32" x14ac:dyDescent="0.2">
      <c r="D12" s="5"/>
      <c r="G12" s="18">
        <v>169</v>
      </c>
      <c r="AC12" s="28" t="s">
        <v>225</v>
      </c>
      <c r="AD12" s="29"/>
      <c r="AE12" s="29"/>
      <c r="AF12" s="30"/>
    </row>
    <row r="13" spans="4:32" x14ac:dyDescent="0.2">
      <c r="D13" s="5"/>
      <c r="F13" s="7">
        <v>130</v>
      </c>
      <c r="G13" s="18">
        <v>100</v>
      </c>
      <c r="AC13" s="2" t="s">
        <v>3</v>
      </c>
      <c r="AD13" s="45">
        <v>0</v>
      </c>
      <c r="AE13" s="45">
        <v>1</v>
      </c>
      <c r="AF13" s="41">
        <v>2</v>
      </c>
    </row>
    <row r="14" spans="4:32" x14ac:dyDescent="0.2">
      <c r="D14" s="13"/>
      <c r="E14" s="39">
        <v>100</v>
      </c>
      <c r="F14" s="39">
        <v>76.92</v>
      </c>
      <c r="G14" s="36">
        <v>59.17</v>
      </c>
      <c r="J14" s="31" t="s">
        <v>61</v>
      </c>
      <c r="K14" s="33"/>
      <c r="M14" s="31" t="s">
        <v>67</v>
      </c>
      <c r="N14" s="32"/>
      <c r="O14" s="32"/>
      <c r="P14" s="33"/>
      <c r="S14" s="31" t="s">
        <v>102</v>
      </c>
      <c r="T14" s="33"/>
      <c r="V14" s="31" t="s">
        <v>105</v>
      </c>
      <c r="W14" s="32"/>
      <c r="X14" s="32"/>
      <c r="Y14" s="33"/>
      <c r="AC14" s="5"/>
      <c r="AF14" s="64">
        <f>AF7-AE8</f>
        <v>34.448003014318033</v>
      </c>
    </row>
    <row r="15" spans="4:32" x14ac:dyDescent="0.2">
      <c r="J15" s="5" t="s">
        <v>153</v>
      </c>
      <c r="K15" s="6">
        <f>K6</f>
        <v>55</v>
      </c>
      <c r="M15" s="5" t="s">
        <v>3</v>
      </c>
      <c r="N15" s="22">
        <v>0</v>
      </c>
      <c r="O15" s="22">
        <v>1</v>
      </c>
      <c r="P15" s="23">
        <v>2</v>
      </c>
      <c r="S15" s="5" t="s">
        <v>153</v>
      </c>
      <c r="T15" s="6">
        <f>T6</f>
        <v>95</v>
      </c>
      <c r="V15" s="5" t="s">
        <v>3</v>
      </c>
      <c r="W15" s="22">
        <v>0</v>
      </c>
      <c r="X15" s="22">
        <v>1</v>
      </c>
      <c r="Y15" s="23">
        <v>2</v>
      </c>
      <c r="AC15" s="5"/>
      <c r="AE15" s="63">
        <f>AE8-AD9</f>
        <v>27.426715351669486</v>
      </c>
      <c r="AF15" s="6"/>
    </row>
    <row r="16" spans="4:32" x14ac:dyDescent="0.2">
      <c r="J16" s="5" t="s">
        <v>69</v>
      </c>
      <c r="K16" s="6">
        <f>K7</f>
        <v>2</v>
      </c>
      <c r="M16" s="5"/>
      <c r="P16" s="6">
        <f>MAX(K6-G12,0)</f>
        <v>0</v>
      </c>
      <c r="S16" s="5" t="s">
        <v>69</v>
      </c>
      <c r="T16" s="6">
        <f>T7</f>
        <v>2</v>
      </c>
      <c r="V16" s="5"/>
      <c r="Y16" s="6">
        <f>MAX($T$6-G12,0)</f>
        <v>0</v>
      </c>
      <c r="AC16" s="5"/>
      <c r="AF16" s="60">
        <f>AF8-AE8</f>
        <v>-34.551996985681967</v>
      </c>
    </row>
    <row r="17" spans="4:32" x14ac:dyDescent="0.2">
      <c r="D17" s="31" t="s">
        <v>66</v>
      </c>
      <c r="E17" s="32"/>
      <c r="F17" s="32"/>
      <c r="G17" s="33"/>
      <c r="J17" s="13" t="s">
        <v>91</v>
      </c>
      <c r="K17" s="15">
        <f>N18</f>
        <v>0</v>
      </c>
      <c r="M17" s="5"/>
      <c r="O17">
        <f>(E9*P16+E10*P17)/(1+E6)</f>
        <v>0</v>
      </c>
      <c r="P17" s="6">
        <f>MAX(K6-G13,0)</f>
        <v>0</v>
      </c>
      <c r="S17" s="13" t="s">
        <v>91</v>
      </c>
      <c r="T17" s="15">
        <f>W18</f>
        <v>8.7211355387365384</v>
      </c>
      <c r="V17" s="5"/>
      <c r="X17">
        <f>MAX((($E$9*Y16+$E$10*Y17)/(1+$E$6)),0,($T$6-F13))</f>
        <v>0</v>
      </c>
      <c r="Y17" s="6">
        <f>MAX($T$6-G13,0)</f>
        <v>0</v>
      </c>
      <c r="AC17" s="5"/>
      <c r="AD17" s="22">
        <v>0</v>
      </c>
      <c r="AF17" s="6"/>
    </row>
    <row r="18" spans="4:32" x14ac:dyDescent="0.2">
      <c r="D18" s="5" t="s">
        <v>63</v>
      </c>
      <c r="E18" t="s">
        <v>64</v>
      </c>
      <c r="F18" t="s">
        <v>63</v>
      </c>
      <c r="G18" s="6" t="s">
        <v>65</v>
      </c>
      <c r="M18" s="13"/>
      <c r="N18" s="14">
        <f>(E9*O17+E10*O18)/(1+E6)</f>
        <v>0</v>
      </c>
      <c r="O18" s="14">
        <f>(E9*P17+E10*P18)/(1+E6)</f>
        <v>0</v>
      </c>
      <c r="P18" s="15">
        <f>MAX(K6-G14,0)</f>
        <v>0</v>
      </c>
      <c r="V18" s="13"/>
      <c r="W18" s="14">
        <f>MAX((($E$9*X17+$E$10*X18)/(1+$E$6)),0,($T$6-E14))</f>
        <v>8.7211355387365384</v>
      </c>
      <c r="X18" s="14">
        <f>MAX((($E$9*Y17+$E$10*Y18)/(1+$E$6)),0,($T$6-F14))</f>
        <v>18.079999999999998</v>
      </c>
      <c r="Y18" s="15">
        <f>MAX($T$6-G14,0)</f>
        <v>35.83</v>
      </c>
      <c r="AC18" s="5"/>
      <c r="AF18" s="64">
        <f>AF8-AE9</f>
        <v>20.384231348907321</v>
      </c>
    </row>
    <row r="19" spans="4:32" x14ac:dyDescent="0.2">
      <c r="D19" s="5"/>
      <c r="F19" s="20" t="s">
        <v>1</v>
      </c>
      <c r="G19" s="21">
        <f>G12/F13</f>
        <v>1.3</v>
      </c>
      <c r="AC19" s="5"/>
      <c r="AE19" s="61">
        <f>AE9-AD9</f>
        <v>-27.509512982919802</v>
      </c>
      <c r="AF19" s="6"/>
    </row>
    <row r="20" spans="4:32" x14ac:dyDescent="0.2">
      <c r="D20" s="27" t="s">
        <v>1</v>
      </c>
      <c r="E20" s="20">
        <f>F13/E14</f>
        <v>1.3</v>
      </c>
      <c r="F20" s="22" t="s">
        <v>2</v>
      </c>
      <c r="G20" s="23">
        <f>G13/F13</f>
        <v>0.76923076923076927</v>
      </c>
      <c r="AC20" s="13"/>
      <c r="AD20" s="14"/>
      <c r="AE20" s="14"/>
      <c r="AF20" s="62">
        <f>AF9-AE9</f>
        <v>-20.445768651092678</v>
      </c>
    </row>
    <row r="21" spans="4:32" x14ac:dyDescent="0.2">
      <c r="D21" s="25" t="s">
        <v>2</v>
      </c>
      <c r="E21" s="22">
        <f>F14/E14</f>
        <v>0.76919999999999999</v>
      </c>
      <c r="F21" s="20" t="s">
        <v>1</v>
      </c>
      <c r="G21" s="21">
        <f>G13/F14</f>
        <v>1.3000520020800832</v>
      </c>
      <c r="J21" s="31" t="s">
        <v>90</v>
      </c>
      <c r="K21" s="33"/>
      <c r="M21" s="31" t="s">
        <v>71</v>
      </c>
      <c r="N21" s="32"/>
      <c r="O21" s="32"/>
      <c r="P21" s="33"/>
      <c r="S21" s="31" t="s">
        <v>103</v>
      </c>
      <c r="T21" s="33"/>
      <c r="V21" s="31" t="s">
        <v>106</v>
      </c>
      <c r="W21" s="32"/>
      <c r="X21" s="32"/>
      <c r="Y21" s="33"/>
    </row>
    <row r="22" spans="4:32" x14ac:dyDescent="0.2">
      <c r="D22" s="13"/>
      <c r="E22" s="14"/>
      <c r="F22" s="26" t="s">
        <v>2</v>
      </c>
      <c r="G22" s="24">
        <f>G14/F14</f>
        <v>0.76924076963078525</v>
      </c>
      <c r="J22" s="5" t="s">
        <v>153</v>
      </c>
      <c r="K22" s="18">
        <v>60</v>
      </c>
      <c r="M22" s="5" t="s">
        <v>3</v>
      </c>
      <c r="N22" s="22">
        <v>0</v>
      </c>
      <c r="O22" s="22">
        <v>1</v>
      </c>
      <c r="P22" s="23">
        <v>2</v>
      </c>
      <c r="R22" s="46" t="s">
        <v>107</v>
      </c>
      <c r="S22" s="5" t="s">
        <v>153</v>
      </c>
      <c r="T22" s="18">
        <v>60</v>
      </c>
      <c r="V22" s="5" t="s">
        <v>3</v>
      </c>
      <c r="W22" s="22">
        <v>0</v>
      </c>
      <c r="X22" s="22">
        <v>1</v>
      </c>
      <c r="Y22" s="23">
        <v>2</v>
      </c>
    </row>
    <row r="23" spans="4:32" x14ac:dyDescent="0.2">
      <c r="J23" s="5" t="s">
        <v>69</v>
      </c>
      <c r="K23" s="19">
        <v>2</v>
      </c>
      <c r="M23" s="5"/>
      <c r="P23" s="6">
        <f>MAX(K22-G12,0)</f>
        <v>0</v>
      </c>
      <c r="S23" s="5" t="s">
        <v>69</v>
      </c>
      <c r="T23" s="19">
        <v>2</v>
      </c>
      <c r="V23" s="5"/>
      <c r="Y23" s="6">
        <f>MAX($T$22-G12,0)</f>
        <v>0</v>
      </c>
      <c r="AC23" s="28" t="s">
        <v>226</v>
      </c>
      <c r="AD23" s="29"/>
      <c r="AE23" s="29"/>
      <c r="AF23" s="30"/>
    </row>
    <row r="24" spans="4:32" x14ac:dyDescent="0.2">
      <c r="J24" s="13" t="s">
        <v>91</v>
      </c>
      <c r="K24" s="15">
        <f>N25</f>
        <v>0.19312002646962692</v>
      </c>
      <c r="M24" s="5"/>
      <c r="O24">
        <f>(E9*P23+E10*P24)/(1+E6)</f>
        <v>0</v>
      </c>
      <c r="P24" s="6">
        <f>MAX(K22-G13,0)</f>
        <v>0</v>
      </c>
      <c r="S24" s="13" t="s">
        <v>91</v>
      </c>
      <c r="T24" s="15">
        <f>W25</f>
        <v>0.19312002646962692</v>
      </c>
      <c r="V24" s="5"/>
      <c r="X24">
        <f>MAX((($E$9*Y23+$E$10*Y24)/(1+$E$6)),0,($T$22-F13))</f>
        <v>0</v>
      </c>
      <c r="Y24" s="6">
        <f>MAX($T$22-G13,0)</f>
        <v>0</v>
      </c>
      <c r="AC24" s="2" t="s">
        <v>3</v>
      </c>
      <c r="AD24" s="45">
        <v>0</v>
      </c>
      <c r="AE24" s="45">
        <v>1</v>
      </c>
      <c r="AF24" s="41">
        <v>2</v>
      </c>
    </row>
    <row r="25" spans="4:32" x14ac:dyDescent="0.2">
      <c r="D25" s="28" t="s">
        <v>74</v>
      </c>
      <c r="E25" s="29"/>
      <c r="F25" s="29"/>
      <c r="G25" s="30"/>
      <c r="H25" t="s">
        <v>165</v>
      </c>
      <c r="M25" s="13"/>
      <c r="N25" s="14">
        <f>(E9*O24+E10*O25)/(1+E6)</f>
        <v>0.19312002646962692</v>
      </c>
      <c r="O25" s="14">
        <f>(E9*P24+E10*P25)/(1+E6)</f>
        <v>0.40036186378049299</v>
      </c>
      <c r="P25" s="15">
        <f>MAX(K22-G14,0)</f>
        <v>0.82999999999999829</v>
      </c>
      <c r="V25" s="13"/>
      <c r="W25" s="14">
        <f>MAX((($E$9*X24+$E$10*X25)/(1+$E$6)),0,($T$22-E14))</f>
        <v>0.19312002646962692</v>
      </c>
      <c r="X25" s="14">
        <f>MAX((($E$9*Y24+$E$10*Y25)/(1+$E$6)),0,($T$22-F14))</f>
        <v>0.40036186378049299</v>
      </c>
      <c r="Y25" s="15">
        <f t="shared" ref="Y25" si="1">MAX($T$22-G14,0)</f>
        <v>0.82999999999999829</v>
      </c>
      <c r="AC25" s="5"/>
      <c r="AF25" s="64">
        <f>-AF14</f>
        <v>-34.448003014318033</v>
      </c>
    </row>
    <row r="26" spans="4:32" x14ac:dyDescent="0.2">
      <c r="D26" s="5" t="s">
        <v>73</v>
      </c>
      <c r="E26">
        <f>K8</f>
        <v>48.659508164963007</v>
      </c>
      <c r="F26" t="s">
        <v>75</v>
      </c>
      <c r="G26" s="43">
        <f>-E14+(1/((1+E6)^K7))*K6+E26</f>
        <v>2.5966851151721926E-3</v>
      </c>
      <c r="H26">
        <f>IF(AND(E26&lt;=G27+0.01,E26&gt;=G27-0.01),0,1)</f>
        <v>0</v>
      </c>
      <c r="I26" t="s">
        <v>166</v>
      </c>
      <c r="J26">
        <f>E27-G26</f>
        <v>-2.5966851151721926E-3</v>
      </c>
      <c r="AC26" s="5"/>
      <c r="AE26" s="63">
        <f>-AE15</f>
        <v>-27.426715351669486</v>
      </c>
      <c r="AF26" s="6"/>
    </row>
    <row r="27" spans="4:32" x14ac:dyDescent="0.2">
      <c r="D27" s="13" t="s">
        <v>72</v>
      </c>
      <c r="E27" s="14">
        <f>K17</f>
        <v>0</v>
      </c>
      <c r="F27" s="14" t="s">
        <v>76</v>
      </c>
      <c r="G27" s="44">
        <f>E14-(1/((1+E6)^K7))*K6+E27</f>
        <v>48.656911479847835</v>
      </c>
      <c r="H27">
        <f>IF(AND(E27&lt;=G26+0.01,E27&gt;=G26-0.01),0,1)</f>
        <v>0</v>
      </c>
      <c r="I27" t="s">
        <v>167</v>
      </c>
      <c r="J27">
        <f>G27-E26</f>
        <v>-2.5966851151721926E-3</v>
      </c>
      <c r="AC27" s="5"/>
      <c r="AF27" s="60">
        <f>-AF16</f>
        <v>34.551996985681967</v>
      </c>
    </row>
    <row r="28" spans="4:32" x14ac:dyDescent="0.2">
      <c r="AC28" s="5"/>
      <c r="AD28" s="22">
        <v>0</v>
      </c>
      <c r="AF28" s="6"/>
    </row>
    <row r="29" spans="4:32" x14ac:dyDescent="0.2">
      <c r="D29" t="s">
        <v>99</v>
      </c>
      <c r="H29" t="s">
        <v>100</v>
      </c>
      <c r="L29" t="s">
        <v>101</v>
      </c>
      <c r="Q29" t="s">
        <v>109</v>
      </c>
      <c r="U29" t="s">
        <v>110</v>
      </c>
      <c r="Y29" t="s">
        <v>111</v>
      </c>
      <c r="AC29" s="5"/>
      <c r="AF29" s="64">
        <f>-AF18</f>
        <v>-20.384231348907321</v>
      </c>
    </row>
    <row r="30" spans="4:32" x14ac:dyDescent="0.2">
      <c r="D30" s="28" t="s">
        <v>88</v>
      </c>
      <c r="E30" s="30"/>
      <c r="H30" s="31" t="s">
        <v>89</v>
      </c>
      <c r="I30" s="33"/>
      <c r="L30" s="31" t="s">
        <v>98</v>
      </c>
      <c r="M30" s="33"/>
      <c r="Q30" s="28" t="s">
        <v>88</v>
      </c>
      <c r="R30" s="30"/>
      <c r="U30" s="31" t="s">
        <v>89</v>
      </c>
      <c r="V30" s="33"/>
      <c r="Y30" s="31" t="s">
        <v>98</v>
      </c>
      <c r="Z30" s="33"/>
      <c r="AC30" s="5"/>
      <c r="AE30" s="61">
        <f>-AE19</f>
        <v>27.509512982919802</v>
      </c>
      <c r="AF30" s="6"/>
    </row>
    <row r="31" spans="4:32" x14ac:dyDescent="0.2">
      <c r="D31" s="40" t="s">
        <v>82</v>
      </c>
      <c r="E31" s="41">
        <f>F13</f>
        <v>130</v>
      </c>
      <c r="H31" s="40" t="s">
        <v>82</v>
      </c>
      <c r="I31" s="41">
        <f>F13</f>
        <v>130</v>
      </c>
      <c r="L31" s="40" t="s">
        <v>82</v>
      </c>
      <c r="M31" s="41">
        <f>F13</f>
        <v>130</v>
      </c>
      <c r="Q31" s="40" t="s">
        <v>82</v>
      </c>
      <c r="R31" s="41">
        <f>$F$13</f>
        <v>130</v>
      </c>
      <c r="U31" s="40" t="s">
        <v>82</v>
      </c>
      <c r="V31" s="41">
        <f>$F$13</f>
        <v>130</v>
      </c>
      <c r="Y31" s="40" t="s">
        <v>82</v>
      </c>
      <c r="Z31" s="41">
        <f>$F$13</f>
        <v>130</v>
      </c>
      <c r="AC31" s="13"/>
      <c r="AD31" s="14"/>
      <c r="AE31" s="14"/>
      <c r="AF31" s="62">
        <f>-AF20</f>
        <v>20.445768651092678</v>
      </c>
    </row>
    <row r="32" spans="4:32" x14ac:dyDescent="0.2">
      <c r="D32" s="5" t="s">
        <v>78</v>
      </c>
      <c r="E32" s="6">
        <f>(P7-P8)/(G12-G13)</f>
        <v>1</v>
      </c>
      <c r="H32" s="5" t="s">
        <v>78</v>
      </c>
      <c r="I32" s="6">
        <f>(P16-P17)/(G12-G13)</f>
        <v>0</v>
      </c>
      <c r="L32" s="5" t="s">
        <v>78</v>
      </c>
      <c r="M32" s="6">
        <f>(P23-P24)/(G12-G13)</f>
        <v>0</v>
      </c>
      <c r="Q32" s="5" t="s">
        <v>78</v>
      </c>
      <c r="R32" s="6">
        <f>($Y$7-$Y$8)/($G$12-$G$13)</f>
        <v>1</v>
      </c>
      <c r="U32" s="5" t="s">
        <v>78</v>
      </c>
      <c r="V32" s="6">
        <f>($Y$16-$Y$17)/($G$12-$G$13)</f>
        <v>0</v>
      </c>
      <c r="Y32" s="5" t="s">
        <v>78</v>
      </c>
      <c r="Z32" s="6">
        <f>($Y$23-$Y$24)/($G$12-$G$13)</f>
        <v>0</v>
      </c>
    </row>
    <row r="33" spans="4:34" x14ac:dyDescent="0.2">
      <c r="D33" s="5" t="s">
        <v>134</v>
      </c>
      <c r="E33" s="6">
        <f>(P7-E32*G12)/(1+E6)</f>
        <v>-53.140096618357489</v>
      </c>
      <c r="F33" t="s">
        <v>80</v>
      </c>
      <c r="H33" s="5" t="s">
        <v>134</v>
      </c>
      <c r="I33" s="6">
        <f>(P16-I32*G12)/(1+E6)</f>
        <v>0</v>
      </c>
      <c r="J33" t="s">
        <v>92</v>
      </c>
      <c r="L33" s="5" t="s">
        <v>134</v>
      </c>
      <c r="M33" s="6">
        <f>(P23-$M$32*G12)/(1+$E$6)</f>
        <v>0</v>
      </c>
      <c r="N33" t="s">
        <v>92</v>
      </c>
      <c r="Q33" s="5" t="s">
        <v>134</v>
      </c>
      <c r="R33" s="6">
        <f>($Y7-$R$32*$G12)/(1+$E$6)</f>
        <v>-91.787439613526573</v>
      </c>
      <c r="S33" t="s">
        <v>80</v>
      </c>
      <c r="U33" s="5" t="s">
        <v>134</v>
      </c>
      <c r="V33" s="6">
        <f>($Y16-$V$32*$G12)/(1+$E$6)</f>
        <v>0</v>
      </c>
      <c r="W33" t="s">
        <v>92</v>
      </c>
      <c r="Y33" s="5" t="s">
        <v>134</v>
      </c>
      <c r="Z33" s="6">
        <f>($Y23-$Z$32*$G12)/(1+$E$6)</f>
        <v>0</v>
      </c>
      <c r="AA33" t="s">
        <v>92</v>
      </c>
    </row>
    <row r="34" spans="4:34" x14ac:dyDescent="0.2">
      <c r="D34" s="13" t="s">
        <v>134</v>
      </c>
      <c r="E34" s="15">
        <f>(P8-E32*G13)/(1+E6)</f>
        <v>-53.140096618357489</v>
      </c>
      <c r="F34" t="s">
        <v>79</v>
      </c>
      <c r="H34" s="13" t="s">
        <v>134</v>
      </c>
      <c r="I34" s="15">
        <f>(P17-I32*G13)/(1+E6)</f>
        <v>0</v>
      </c>
      <c r="J34" t="s">
        <v>93</v>
      </c>
      <c r="L34" s="13" t="s">
        <v>134</v>
      </c>
      <c r="M34" s="15">
        <f>(P24-$M$32*G13)/(1+$E$6)</f>
        <v>0</v>
      </c>
      <c r="N34" t="s">
        <v>93</v>
      </c>
      <c r="Q34" s="13" t="s">
        <v>134</v>
      </c>
      <c r="R34" s="15">
        <f>($Y8-$R$32*$G13)/(1+$E$6)</f>
        <v>-91.787439613526573</v>
      </c>
      <c r="S34" t="s">
        <v>79</v>
      </c>
      <c r="U34" s="13" t="s">
        <v>134</v>
      </c>
      <c r="V34" s="15">
        <f>($Y17-$V$32*$G13)/(1+$E$6)</f>
        <v>0</v>
      </c>
      <c r="W34" t="s">
        <v>93</v>
      </c>
      <c r="Y34" s="13" t="s">
        <v>134</v>
      </c>
      <c r="Z34" s="15">
        <f>($Y24-$Z$32*$G13)/(1+$E$6)</f>
        <v>0</v>
      </c>
      <c r="AA34" t="s">
        <v>93</v>
      </c>
    </row>
    <row r="35" spans="4:34" x14ac:dyDescent="0.2">
      <c r="D35" s="5"/>
      <c r="E35" s="6"/>
      <c r="H35" s="5"/>
      <c r="I35" s="6"/>
      <c r="L35" s="5"/>
      <c r="M35" s="6"/>
      <c r="Q35" s="5"/>
      <c r="R35" s="6"/>
      <c r="U35" s="5"/>
      <c r="V35" s="6"/>
      <c r="Y35" s="5"/>
      <c r="Z35" s="6"/>
    </row>
    <row r="36" spans="4:34" x14ac:dyDescent="0.2">
      <c r="D36" s="40" t="s">
        <v>81</v>
      </c>
      <c r="E36" s="41">
        <f>F14</f>
        <v>76.92</v>
      </c>
      <c r="H36" s="40" t="s">
        <v>81</v>
      </c>
      <c r="I36" s="41">
        <f>F14</f>
        <v>76.92</v>
      </c>
      <c r="L36" s="40" t="s">
        <v>81</v>
      </c>
      <c r="M36" s="41">
        <f>F14</f>
        <v>76.92</v>
      </c>
      <c r="Q36" s="40" t="s">
        <v>81</v>
      </c>
      <c r="R36" s="41">
        <f>$F$14</f>
        <v>76.92</v>
      </c>
      <c r="U36" s="40" t="s">
        <v>81</v>
      </c>
      <c r="V36" s="41">
        <f>$F$14</f>
        <v>76.92</v>
      </c>
      <c r="Y36" s="40" t="s">
        <v>81</v>
      </c>
      <c r="Z36" s="41">
        <f>$F$14</f>
        <v>76.92</v>
      </c>
    </row>
    <row r="37" spans="4:34" x14ac:dyDescent="0.2">
      <c r="D37" s="5" t="s">
        <v>78</v>
      </c>
      <c r="E37" s="6">
        <f>(P8-P9)/(G13-G14)</f>
        <v>1</v>
      </c>
      <c r="H37" s="5" t="s">
        <v>78</v>
      </c>
      <c r="I37" s="6">
        <f>(P17-P18)/(G13-G14)</f>
        <v>0</v>
      </c>
      <c r="L37" s="5" t="s">
        <v>78</v>
      </c>
      <c r="M37" s="6">
        <f>(P24-P25)/(G13-G14)</f>
        <v>-2.0328190056331089E-2</v>
      </c>
      <c r="Q37" s="5" t="s">
        <v>78</v>
      </c>
      <c r="R37" s="6">
        <f>($Y$8-$Y$9)/($G$13-$G$14)</f>
        <v>0.12245897624295861</v>
      </c>
      <c r="U37" s="5" t="s">
        <v>78</v>
      </c>
      <c r="V37" s="6">
        <f>($Y$17-$Y$18)/($G$13-$G$14)</f>
        <v>-0.87754102375704135</v>
      </c>
      <c r="Y37" s="5" t="s">
        <v>78</v>
      </c>
      <c r="Z37" s="6">
        <f>($Y$24-$Y$25)/($G$13-$G$14)</f>
        <v>-2.0328190056331089E-2</v>
      </c>
    </row>
    <row r="38" spans="4:34" x14ac:dyDescent="0.2">
      <c r="D38" s="5" t="s">
        <v>134</v>
      </c>
      <c r="E38" s="6">
        <f>(P8-E37*G13)/(1+E6)</f>
        <v>-53.140096618357489</v>
      </c>
      <c r="F38" t="s">
        <v>83</v>
      </c>
      <c r="H38" s="5" t="s">
        <v>134</v>
      </c>
      <c r="I38" s="6">
        <f>(P17-I37*G13)/(1+E6)</f>
        <v>0</v>
      </c>
      <c r="J38" t="s">
        <v>94</v>
      </c>
      <c r="L38" s="5" t="s">
        <v>134</v>
      </c>
      <c r="M38" s="6">
        <f>(P24-$M$37*G13)/(1+$E$6)</f>
        <v>1.9640763339450331</v>
      </c>
      <c r="N38" t="s">
        <v>94</v>
      </c>
      <c r="Q38" s="5" t="s">
        <v>134</v>
      </c>
      <c r="R38" s="6">
        <f>($Y8-$R$37*$G13)/(1+$E$6)</f>
        <v>-7.0008672698510734</v>
      </c>
      <c r="S38" t="s">
        <v>83</v>
      </c>
      <c r="U38" s="5" t="s">
        <v>134</v>
      </c>
      <c r="V38" s="6">
        <f>($Y17-$V$37*$G13)/(1+$E$6)</f>
        <v>84.786572343675502</v>
      </c>
      <c r="W38" t="s">
        <v>94</v>
      </c>
      <c r="Y38" s="5" t="s">
        <v>134</v>
      </c>
      <c r="Z38" s="6">
        <f>($Y24-$Z$37*$G13)/(1+$E$6)</f>
        <v>1.9640763339450331</v>
      </c>
      <c r="AA38" t="s">
        <v>94</v>
      </c>
    </row>
    <row r="39" spans="4:34" x14ac:dyDescent="0.2">
      <c r="D39" s="13" t="s">
        <v>134</v>
      </c>
      <c r="E39" s="15">
        <f>(P9-E37*G14)/(1+E6)</f>
        <v>-53.140096618357489</v>
      </c>
      <c r="F39" t="s">
        <v>84</v>
      </c>
      <c r="H39" s="13" t="s">
        <v>134</v>
      </c>
      <c r="I39" s="15">
        <f>(P18-I37*G14)/(1+E6)</f>
        <v>0</v>
      </c>
      <c r="J39" t="s">
        <v>95</v>
      </c>
      <c r="L39" s="13" t="s">
        <v>134</v>
      </c>
      <c r="M39" s="15">
        <f>(P25-$M$37*G14)/(1+$E$6)</f>
        <v>1.9640763339450331</v>
      </c>
      <c r="N39" t="s">
        <v>95</v>
      </c>
      <c r="Q39" s="13" t="s">
        <v>134</v>
      </c>
      <c r="R39" s="15">
        <f>($Y9-$R$37*$G14)/(1+$E$6)</f>
        <v>-7.0008672698510743</v>
      </c>
      <c r="S39" t="s">
        <v>84</v>
      </c>
      <c r="U39" s="13" t="s">
        <v>134</v>
      </c>
      <c r="V39" s="15">
        <f>($Y18-$V$37*$G14)/(1+$E$6)</f>
        <v>84.786572343675502</v>
      </c>
      <c r="W39" t="s">
        <v>95</v>
      </c>
      <c r="Y39" s="13" t="s">
        <v>134</v>
      </c>
      <c r="Z39" s="15">
        <f>($Y25-$Z$37*$G14)/(1+$E$6)</f>
        <v>1.9640763339450331</v>
      </c>
      <c r="AA39" t="s">
        <v>95</v>
      </c>
    </row>
    <row r="40" spans="4:34" x14ac:dyDescent="0.2">
      <c r="D40" s="5"/>
      <c r="E40" s="6"/>
      <c r="H40" s="5"/>
      <c r="I40" s="6"/>
      <c r="L40" s="5"/>
      <c r="M40" s="6"/>
      <c r="Q40" s="5"/>
      <c r="R40" s="6"/>
      <c r="U40" s="5"/>
      <c r="V40" s="6"/>
      <c r="Y40" s="5"/>
      <c r="Z40" s="6"/>
    </row>
    <row r="41" spans="4:34" x14ac:dyDescent="0.2">
      <c r="D41" s="40" t="s">
        <v>85</v>
      </c>
      <c r="E41" s="41">
        <f>E14</f>
        <v>100</v>
      </c>
      <c r="H41" s="40" t="s">
        <v>85</v>
      </c>
      <c r="I41" s="41">
        <f>E14</f>
        <v>100</v>
      </c>
      <c r="L41" s="40" t="s">
        <v>85</v>
      </c>
      <c r="M41" s="41">
        <f>E14</f>
        <v>100</v>
      </c>
      <c r="Q41" s="40" t="s">
        <v>85</v>
      </c>
      <c r="R41" s="41">
        <f>$E$14</f>
        <v>100</v>
      </c>
      <c r="U41" s="40" t="s">
        <v>85</v>
      </c>
      <c r="V41" s="41">
        <f>$E$14</f>
        <v>100</v>
      </c>
      <c r="Y41" s="40" t="s">
        <v>85</v>
      </c>
      <c r="Z41" s="41">
        <f>$E$14</f>
        <v>100</v>
      </c>
    </row>
    <row r="42" spans="4:34" x14ac:dyDescent="0.2">
      <c r="D42" s="5" t="s">
        <v>78</v>
      </c>
      <c r="E42" s="6">
        <f>(O8-O9)/(F13-F14)</f>
        <v>0.99997139191211337</v>
      </c>
      <c r="H42" s="5" t="s">
        <v>78</v>
      </c>
      <c r="I42" s="6">
        <f>(O17-O18)/(F13-F14)</f>
        <v>0</v>
      </c>
      <c r="L42" s="5" t="s">
        <v>78</v>
      </c>
      <c r="M42" s="6">
        <f>(O24-O25)/(F13-F14)</f>
        <v>-7.5426123545684438E-3</v>
      </c>
      <c r="Q42" s="5" t="s">
        <v>78</v>
      </c>
      <c r="R42" s="6">
        <f>($X$8-$X$9)/($F$13-$F$14)</f>
        <v>0.67436681279863386</v>
      </c>
      <c r="U42" s="5" t="s">
        <v>78</v>
      </c>
      <c r="V42" s="6">
        <f>($X$17-$X$18)/($F$13-$F$14)</f>
        <v>-0.34061793519216277</v>
      </c>
      <c r="Y42" s="5" t="s">
        <v>78</v>
      </c>
      <c r="Z42" s="6">
        <f>($X$24-$X$25)/($F$13-$F$14)</f>
        <v>-7.5426123545684438E-3</v>
      </c>
    </row>
    <row r="43" spans="4:34" x14ac:dyDescent="0.2">
      <c r="D43" s="5" t="s">
        <v>134</v>
      </c>
      <c r="E43" s="6">
        <f>(O8-E42*F13)/(1+E6)</f>
        <v>-51.337631026248332</v>
      </c>
      <c r="F43" t="s">
        <v>86</v>
      </c>
      <c r="H43" s="5" t="s">
        <v>134</v>
      </c>
      <c r="I43" s="6">
        <f>(O17-I42*F13)/(1+E6)</f>
        <v>0</v>
      </c>
      <c r="J43" t="s">
        <v>96</v>
      </c>
      <c r="L43" s="5" t="s">
        <v>134</v>
      </c>
      <c r="M43" s="6">
        <f>(O24-M42*F13)/(1+E6)</f>
        <v>0.94738126192647121</v>
      </c>
      <c r="N43" t="s">
        <v>96</v>
      </c>
      <c r="Q43" s="5" t="s">
        <v>134</v>
      </c>
      <c r="R43" s="6">
        <f>($X8-$R$42*$F13)/(1+$E$6)</f>
        <v>-47.780865529066453</v>
      </c>
      <c r="S43" t="s">
        <v>86</v>
      </c>
      <c r="U43" s="5" t="s">
        <v>134</v>
      </c>
      <c r="V43" s="6">
        <f>($X17-$V$42*$F13)/(1+$E$6)</f>
        <v>42.782929057952813</v>
      </c>
      <c r="W43" t="s">
        <v>96</v>
      </c>
      <c r="Y43" s="5" t="s">
        <v>134</v>
      </c>
      <c r="Z43" s="6">
        <f>($X24-$Z$42*$F13)/(1+$E$6)</f>
        <v>0.94738126192647121</v>
      </c>
      <c r="AA43" t="s">
        <v>96</v>
      </c>
    </row>
    <row r="44" spans="4:34" x14ac:dyDescent="0.2">
      <c r="D44" s="13" t="s">
        <v>134</v>
      </c>
      <c r="E44" s="15">
        <f>(O9-E42*F14)/(1+E6)</f>
        <v>-51.337631026248339</v>
      </c>
      <c r="F44" t="s">
        <v>87</v>
      </c>
      <c r="H44" s="13" t="s">
        <v>134</v>
      </c>
      <c r="I44" s="15">
        <f>(O18-I42*F14)/(1+E6)</f>
        <v>0</v>
      </c>
      <c r="J44" t="s">
        <v>97</v>
      </c>
      <c r="L44" s="13" t="s">
        <v>134</v>
      </c>
      <c r="M44" s="15">
        <f>(O25-M42*F14)/(1+E6)</f>
        <v>0.94738126192647121</v>
      </c>
      <c r="N44" t="s">
        <v>97</v>
      </c>
      <c r="Q44" s="13" t="s">
        <v>134</v>
      </c>
      <c r="R44" s="15">
        <f>($X9-$R$42*$F14)/(1+$E$6)</f>
        <v>-47.78086552906646</v>
      </c>
      <c r="S44" t="s">
        <v>87</v>
      </c>
      <c r="U44" s="13" t="s">
        <v>134</v>
      </c>
      <c r="V44" s="15">
        <f>($X18-$V$42*$F14)/(1+$E$6)</f>
        <v>42.782929057952813</v>
      </c>
      <c r="W44" t="s">
        <v>97</v>
      </c>
      <c r="Y44" s="13" t="s">
        <v>134</v>
      </c>
      <c r="Z44" s="15">
        <f>($X25-$Z$42*$F14)/(1+$E$6)</f>
        <v>0.94738126192647121</v>
      </c>
      <c r="AA44" t="s">
        <v>97</v>
      </c>
    </row>
    <row r="47" spans="4:34" x14ac:dyDescent="0.2">
      <c r="I47" t="s">
        <v>224</v>
      </c>
    </row>
    <row r="48" spans="4:34" x14ac:dyDescent="0.2">
      <c r="D48" s="2" t="s">
        <v>131</v>
      </c>
      <c r="E48" s="3" t="s">
        <v>132</v>
      </c>
      <c r="F48" s="4"/>
      <c r="I48" t="s">
        <v>159</v>
      </c>
      <c r="M48" s="2"/>
      <c r="N48" s="72" t="s">
        <v>346</v>
      </c>
      <c r="O48" s="3"/>
      <c r="P48" s="3"/>
      <c r="Q48" s="3"/>
      <c r="R48" s="3"/>
      <c r="S48" s="72" t="s">
        <v>346</v>
      </c>
      <c r="T48" s="3"/>
      <c r="U48" s="3"/>
      <c r="V48" s="72" t="s">
        <v>346</v>
      </c>
      <c r="W48" s="3"/>
      <c r="X48" s="3"/>
      <c r="Y48" s="3"/>
      <c r="Z48" s="3"/>
      <c r="AA48" s="72" t="s">
        <v>346</v>
      </c>
      <c r="AB48" s="3"/>
      <c r="AC48" s="3"/>
      <c r="AD48" s="72" t="s">
        <v>346</v>
      </c>
      <c r="AE48" s="3"/>
      <c r="AF48" s="3"/>
      <c r="AG48" s="3"/>
      <c r="AH48" s="4"/>
    </row>
    <row r="49" spans="4:34" x14ac:dyDescent="0.2">
      <c r="D49" s="5" t="s">
        <v>3</v>
      </c>
      <c r="E49" s="22">
        <v>0</v>
      </c>
      <c r="F49" s="23">
        <v>1</v>
      </c>
      <c r="I49" s="28" t="s">
        <v>160</v>
      </c>
      <c r="J49" s="30"/>
      <c r="M49" s="5"/>
      <c r="N49" s="31" t="s">
        <v>348</v>
      </c>
      <c r="O49" s="32"/>
      <c r="P49" s="32"/>
      <c r="Q49" s="33"/>
      <c r="S49" s="31" t="s">
        <v>49</v>
      </c>
      <c r="T49" s="33"/>
      <c r="V49" s="31" t="s">
        <v>62</v>
      </c>
      <c r="W49" s="32"/>
      <c r="X49" s="32"/>
      <c r="Y49" s="33"/>
      <c r="AA49" s="31" t="s">
        <v>137</v>
      </c>
      <c r="AB49" s="33"/>
      <c r="AD49" s="31" t="s">
        <v>104</v>
      </c>
      <c r="AE49" s="32"/>
      <c r="AF49" s="32"/>
      <c r="AG49" s="33"/>
      <c r="AH49" s="6"/>
    </row>
    <row r="50" spans="4:34" x14ac:dyDescent="0.2">
      <c r="D50" s="5"/>
      <c r="F50" s="43">
        <f>IF(AND(G20&lt;(1+E6),(1+E6)&lt;G19),0,1)</f>
        <v>0</v>
      </c>
      <c r="I50" s="5" t="s">
        <v>153</v>
      </c>
      <c r="J50" s="6">
        <f>K6</f>
        <v>55</v>
      </c>
      <c r="M50" s="5"/>
      <c r="N50" s="5" t="s">
        <v>3</v>
      </c>
      <c r="O50" s="22">
        <v>0</v>
      </c>
      <c r="P50" s="22">
        <v>1</v>
      </c>
      <c r="Q50" s="23">
        <v>2</v>
      </c>
      <c r="S50" s="5" t="s">
        <v>55</v>
      </c>
      <c r="T50" s="6">
        <f>K6</f>
        <v>55</v>
      </c>
      <c r="V50" s="5" t="s">
        <v>3</v>
      </c>
      <c r="W50" s="22">
        <v>0</v>
      </c>
      <c r="X50" s="22">
        <v>1</v>
      </c>
      <c r="Y50" s="23">
        <v>2</v>
      </c>
      <c r="AA50" s="5" t="s">
        <v>55</v>
      </c>
      <c r="AB50" s="6">
        <f>T6</f>
        <v>95</v>
      </c>
      <c r="AD50" s="5" t="s">
        <v>3</v>
      </c>
      <c r="AE50" s="22">
        <v>0</v>
      </c>
      <c r="AF50" s="22">
        <v>1</v>
      </c>
      <c r="AG50" s="23">
        <v>2</v>
      </c>
      <c r="AH50" s="6"/>
    </row>
    <row r="51" spans="4:34" x14ac:dyDescent="0.2">
      <c r="D51" s="13"/>
      <c r="E51" s="47">
        <f>IF(AND(E21&lt;(1+E6),(1+E6)&lt;E20),0,1)</f>
        <v>0</v>
      </c>
      <c r="F51" s="44">
        <f>IF(AND(G22&lt;(1+E6),(1+E6)&lt;G21),0,1)</f>
        <v>0</v>
      </c>
      <c r="I51" s="13" t="s">
        <v>154</v>
      </c>
      <c r="J51" s="15">
        <f>K8-K17</f>
        <v>48.659508164963007</v>
      </c>
      <c r="M51" s="5"/>
      <c r="N51" s="5"/>
      <c r="Q51" s="18">
        <v>169</v>
      </c>
      <c r="S51" s="5" t="s">
        <v>56</v>
      </c>
      <c r="T51" s="6">
        <v>2</v>
      </c>
      <c r="V51" s="5"/>
      <c r="Y51" s="6">
        <f>MAX(Q51-$T$50,0)</f>
        <v>114</v>
      </c>
      <c r="AA51" s="5" t="s">
        <v>56</v>
      </c>
      <c r="AB51" s="6">
        <v>2</v>
      </c>
      <c r="AD51" s="5"/>
      <c r="AG51" s="6">
        <f>MAX(Q51-$AB$50,0)</f>
        <v>74</v>
      </c>
      <c r="AH51" s="6"/>
    </row>
    <row r="52" spans="4:34" x14ac:dyDescent="0.2">
      <c r="D52" t="s">
        <v>133</v>
      </c>
      <c r="M52" s="5"/>
      <c r="N52" s="5"/>
      <c r="P52" s="7">
        <v>130</v>
      </c>
      <c r="Q52" s="6"/>
      <c r="S52" s="13" t="s">
        <v>68</v>
      </c>
      <c r="T52" s="15">
        <f>W54</f>
        <v>48.659508164963</v>
      </c>
      <c r="V52" s="5"/>
      <c r="X52">
        <f>($E$9*Y51+$E$10*Y53)/(1+$E$6)</f>
        <v>76.861832836407714</v>
      </c>
      <c r="Y52" s="6"/>
      <c r="AA52" s="13" t="s">
        <v>68</v>
      </c>
      <c r="AB52" s="15">
        <f>AE54</f>
        <v>19.655815750796929</v>
      </c>
      <c r="AD52" s="5"/>
      <c r="AF52">
        <f>MAX((($E$9*AG51+$E$10*AG53)/(1+$E$6)),0,(P52-$AB$50))</f>
        <v>38.214489841238624</v>
      </c>
      <c r="AG52" s="6"/>
      <c r="AH52" s="6"/>
    </row>
    <row r="53" spans="4:34" x14ac:dyDescent="0.2">
      <c r="I53" s="28" t="s">
        <v>161</v>
      </c>
      <c r="J53" s="30"/>
      <c r="M53" s="5"/>
      <c r="N53" s="5"/>
      <c r="Q53" s="18">
        <v>100</v>
      </c>
      <c r="V53" s="5"/>
      <c r="Y53" s="6">
        <f>MAX(Q53-$T$50,0)</f>
        <v>45</v>
      </c>
      <c r="AD53" s="5"/>
      <c r="AG53" s="6">
        <f>MAX(Q53-$AB$50,0)</f>
        <v>5</v>
      </c>
      <c r="AH53" s="6"/>
    </row>
    <row r="54" spans="4:34" x14ac:dyDescent="0.2">
      <c r="I54" s="5" t="s">
        <v>153</v>
      </c>
      <c r="J54" s="6">
        <f>K6</f>
        <v>55</v>
      </c>
      <c r="M54" s="5"/>
      <c r="N54" s="5"/>
      <c r="O54" s="7">
        <v>100</v>
      </c>
      <c r="Q54" s="6"/>
      <c r="R54" t="s">
        <v>349</v>
      </c>
      <c r="V54" s="5"/>
      <c r="W54">
        <f>($E$9*X52+$E$10*X56)/(1+$E$6)</f>
        <v>48.659508164963</v>
      </c>
      <c r="Y54" s="6"/>
      <c r="AD54" s="5"/>
      <c r="AE54">
        <f>MAX((($E$9*AF52+$E$10*AF56)/(1+$E$6)),0,(O54-$AB$50))</f>
        <v>19.655815750796929</v>
      </c>
      <c r="AG54" s="6"/>
      <c r="AH54" s="6"/>
    </row>
    <row r="55" spans="4:34" x14ac:dyDescent="0.2">
      <c r="I55" s="13" t="s">
        <v>154</v>
      </c>
      <c r="J55" s="15">
        <f>K17-K8</f>
        <v>-48.659508164963007</v>
      </c>
      <c r="M55" s="5"/>
      <c r="N55" s="5"/>
      <c r="Q55" s="18">
        <v>100</v>
      </c>
      <c r="R55" t="s">
        <v>347</v>
      </c>
      <c r="V55" s="5"/>
      <c r="Y55" s="6">
        <f>MAX(Q55-$T$50,0)</f>
        <v>45</v>
      </c>
      <c r="AD55" s="5"/>
      <c r="AG55" s="6">
        <f>MAX(Q55-$AB$50,0)</f>
        <v>5</v>
      </c>
      <c r="AH55" s="6"/>
    </row>
    <row r="56" spans="4:34" x14ac:dyDescent="0.2">
      <c r="M56" s="5"/>
      <c r="N56" s="5"/>
      <c r="P56" s="7">
        <v>76.92</v>
      </c>
      <c r="Q56" s="6"/>
      <c r="V56" s="5"/>
      <c r="X56">
        <f>($E$9*Y55+$E$10*Y57)/(1+$E$6)</f>
        <v>23.783351353712739</v>
      </c>
      <c r="Y56" s="6"/>
      <c r="AD56" s="5"/>
      <c r="AF56">
        <f>MAX((($E$9*AG55+$E$10*AG57)/(1+$E$6)),0,(P56-$AB$50))</f>
        <v>2.419099417887137</v>
      </c>
      <c r="AG56" s="6"/>
      <c r="AH56" s="6"/>
    </row>
    <row r="57" spans="4:34" x14ac:dyDescent="0.2">
      <c r="I57" s="28" t="s">
        <v>162</v>
      </c>
      <c r="J57" s="30"/>
      <c r="M57" s="5"/>
      <c r="N57" s="13"/>
      <c r="O57" s="14"/>
      <c r="P57" s="14"/>
      <c r="Q57" s="36">
        <v>59.17</v>
      </c>
      <c r="V57" s="13"/>
      <c r="W57" s="14"/>
      <c r="X57" s="14"/>
      <c r="Y57" s="15">
        <f>MAX(Q57-$T$50,0)</f>
        <v>4.1700000000000017</v>
      </c>
      <c r="AD57" s="13"/>
      <c r="AE57" s="14"/>
      <c r="AF57" s="14"/>
      <c r="AG57" s="15">
        <f>MAX(Q57-$AB$50,0)</f>
        <v>0</v>
      </c>
      <c r="AH57" s="6"/>
    </row>
    <row r="58" spans="4:34" x14ac:dyDescent="0.2">
      <c r="I58" s="5" t="s">
        <v>155</v>
      </c>
      <c r="J58" s="6">
        <f>K6</f>
        <v>55</v>
      </c>
      <c r="K58" t="s">
        <v>157</v>
      </c>
      <c r="M58" s="5"/>
      <c r="N58" t="s">
        <v>350</v>
      </c>
      <c r="S58" s="71" t="s">
        <v>346</v>
      </c>
      <c r="V58" s="71" t="s">
        <v>346</v>
      </c>
      <c r="AA58" s="71" t="s">
        <v>346</v>
      </c>
      <c r="AD58" s="71" t="s">
        <v>346</v>
      </c>
      <c r="AH58" s="6"/>
    </row>
    <row r="59" spans="4:34" x14ac:dyDescent="0.2">
      <c r="I59" s="5" t="s">
        <v>156</v>
      </c>
      <c r="J59" s="6">
        <f>K22</f>
        <v>60</v>
      </c>
      <c r="K59" t="s">
        <v>158</v>
      </c>
      <c r="M59" s="5"/>
      <c r="S59" s="31" t="s">
        <v>61</v>
      </c>
      <c r="T59" s="33"/>
      <c r="V59" s="28" t="s">
        <v>67</v>
      </c>
      <c r="W59" s="29"/>
      <c r="X59" s="29"/>
      <c r="Y59" s="30"/>
      <c r="AA59" s="31" t="s">
        <v>102</v>
      </c>
      <c r="AB59" s="33"/>
      <c r="AD59" s="31" t="s">
        <v>105</v>
      </c>
      <c r="AE59" s="32"/>
      <c r="AF59" s="32"/>
      <c r="AG59" s="33"/>
      <c r="AH59" s="6"/>
    </row>
    <row r="60" spans="4:34" x14ac:dyDescent="0.2">
      <c r="I60" s="13" t="s">
        <v>154</v>
      </c>
      <c r="J60" s="15">
        <f>K8-K24</f>
        <v>48.466388138493379</v>
      </c>
      <c r="M60" s="5"/>
      <c r="S60" s="5" t="s">
        <v>153</v>
      </c>
      <c r="T60" s="6">
        <f>T50</f>
        <v>55</v>
      </c>
      <c r="V60" s="2" t="s">
        <v>3</v>
      </c>
      <c r="W60" s="45">
        <v>0</v>
      </c>
      <c r="X60" s="45">
        <v>1</v>
      </c>
      <c r="Y60" s="41">
        <v>2</v>
      </c>
      <c r="AA60" s="5" t="s">
        <v>153</v>
      </c>
      <c r="AB60" s="6">
        <f>AB50</f>
        <v>95</v>
      </c>
      <c r="AD60" s="5" t="s">
        <v>3</v>
      </c>
      <c r="AE60" s="22">
        <v>0</v>
      </c>
      <c r="AF60" s="22">
        <v>1</v>
      </c>
      <c r="AG60" s="23">
        <v>2</v>
      </c>
      <c r="AH60" s="6"/>
    </row>
    <row r="61" spans="4:34" x14ac:dyDescent="0.2">
      <c r="M61" s="5"/>
      <c r="S61" s="5" t="s">
        <v>69</v>
      </c>
      <c r="T61" s="6">
        <f>T51</f>
        <v>2</v>
      </c>
      <c r="V61" s="5"/>
      <c r="Y61" s="6">
        <f>MAX($T$50-Q51,0)</f>
        <v>0</v>
      </c>
      <c r="AA61" s="5" t="s">
        <v>69</v>
      </c>
      <c r="AB61" s="6">
        <f>AB51</f>
        <v>2</v>
      </c>
      <c r="AD61" s="5"/>
      <c r="AG61" s="6">
        <f>MAX($AB$60-Q51,0)</f>
        <v>0</v>
      </c>
      <c r="AH61" s="6"/>
    </row>
    <row r="62" spans="4:34" x14ac:dyDescent="0.2">
      <c r="I62" s="28" t="s">
        <v>163</v>
      </c>
      <c r="J62" s="30"/>
      <c r="M62" s="5"/>
      <c r="S62" s="13" t="s">
        <v>91</v>
      </c>
      <c r="T62" s="15">
        <f>W64</f>
        <v>0</v>
      </c>
      <c r="V62" s="5"/>
      <c r="X62">
        <f>($E$9*Y61+$E$10*Y63)/(1+$E$6)</f>
        <v>0</v>
      </c>
      <c r="Y62" s="6"/>
      <c r="AA62" s="13" t="s">
        <v>91</v>
      </c>
      <c r="AB62" s="15">
        <f>AE64</f>
        <v>8.7211355387365384</v>
      </c>
      <c r="AD62" s="5"/>
      <c r="AF62">
        <f>MAX((($E$9*AG61+$E$10*AG63)/(1+$E$6)),0,($AB$60-P52))</f>
        <v>0</v>
      </c>
      <c r="AG62" s="6"/>
      <c r="AH62" s="6"/>
    </row>
    <row r="63" spans="4:34" x14ac:dyDescent="0.2">
      <c r="I63" s="5" t="s">
        <v>155</v>
      </c>
      <c r="J63" s="6">
        <f>K22</f>
        <v>60</v>
      </c>
      <c r="K63" t="s">
        <v>158</v>
      </c>
      <c r="M63" s="5"/>
      <c r="V63" s="5"/>
      <c r="Y63" s="6">
        <f>MAX($T$50-Q53,0)</f>
        <v>0</v>
      </c>
      <c r="AD63" s="5"/>
      <c r="AG63" s="6">
        <f>MAX($AB$60-Q53,0)</f>
        <v>0</v>
      </c>
      <c r="AH63" s="6"/>
    </row>
    <row r="64" spans="4:34" x14ac:dyDescent="0.2">
      <c r="I64" s="5" t="s">
        <v>156</v>
      </c>
      <c r="J64" s="6">
        <f>K6</f>
        <v>55</v>
      </c>
      <c r="K64" t="s">
        <v>157</v>
      </c>
      <c r="M64" s="5"/>
      <c r="V64" s="5"/>
      <c r="W64">
        <f>($E$9*X62+$E$10*X66)/(1+$E$6)</f>
        <v>0</v>
      </c>
      <c r="Y64" s="6"/>
      <c r="AD64" s="5"/>
      <c r="AE64">
        <f>MAX((($E$9*AF62+$E$10*AF66)/(1+$E$6)),0,($AB$60-O54))</f>
        <v>8.7211355387365384</v>
      </c>
      <c r="AG64" s="6"/>
      <c r="AH64" s="6"/>
    </row>
    <row r="65" spans="9:34" x14ac:dyDescent="0.2">
      <c r="I65" s="13" t="s">
        <v>154</v>
      </c>
      <c r="J65" s="15">
        <f>K24-K8</f>
        <v>-48.466388138493379</v>
      </c>
      <c r="M65" s="5"/>
      <c r="V65" s="5"/>
      <c r="Y65" s="6">
        <f>MAX($T$50-Q55,0)</f>
        <v>0</v>
      </c>
      <c r="AD65" s="5"/>
      <c r="AG65" s="6">
        <f>MAX($AB$60-Q55,0)</f>
        <v>0</v>
      </c>
      <c r="AH65" s="6"/>
    </row>
    <row r="66" spans="9:34" x14ac:dyDescent="0.2">
      <c r="I66" s="46" t="s">
        <v>164</v>
      </c>
      <c r="M66" s="5"/>
      <c r="V66" s="5"/>
      <c r="X66">
        <f>($E$9*Y65+$E$10*Y67)/(1+$E$6)</f>
        <v>0</v>
      </c>
      <c r="Y66" s="6"/>
      <c r="AD66" s="5"/>
      <c r="AF66">
        <f>MAX((($E$9*AG65+$E$10*AG67)/(1+$E$6)),0,($AB$60-P56))</f>
        <v>18.079999999999998</v>
      </c>
      <c r="AG66" s="6"/>
      <c r="AH66" s="6"/>
    </row>
    <row r="67" spans="9:34" x14ac:dyDescent="0.2">
      <c r="M67" s="5"/>
      <c r="V67" s="13"/>
      <c r="W67" s="14"/>
      <c r="X67" s="14"/>
      <c r="Y67" s="15">
        <f>MAX($T$50-Q57,0)</f>
        <v>0</v>
      </c>
      <c r="AD67" s="13"/>
      <c r="AE67" s="14"/>
      <c r="AF67" s="14"/>
      <c r="AG67" s="15">
        <f>MAX($AB$60-Q57,0)</f>
        <v>35.83</v>
      </c>
      <c r="AH67" s="6"/>
    </row>
    <row r="68" spans="9:34" x14ac:dyDescent="0.2">
      <c r="M68" s="13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D06E-46EC-4A49-90A3-BCAFA37A260F}">
  <dimension ref="D5:AL89"/>
  <sheetViews>
    <sheetView topLeftCell="J45" zoomScale="64" zoomScaleNormal="75" workbookViewId="0">
      <selection activeCell="U97" sqref="U97"/>
    </sheetView>
  </sheetViews>
  <sheetFormatPr baseColWidth="10" defaultRowHeight="16" x14ac:dyDescent="0.2"/>
  <cols>
    <col min="4" max="4" width="13.33203125" customWidth="1"/>
    <col min="5" max="5" width="12.33203125" bestFit="1" customWidth="1"/>
    <col min="6" max="8" width="11" bestFit="1" customWidth="1"/>
    <col min="9" max="9" width="12.33203125" bestFit="1" customWidth="1"/>
    <col min="10" max="10" width="11.83203125" customWidth="1"/>
    <col min="11" max="11" width="12.83203125" customWidth="1"/>
    <col min="12" max="12" width="11" bestFit="1" customWidth="1"/>
    <col min="13" max="13" width="12.33203125" bestFit="1" customWidth="1"/>
    <col min="15" max="17" width="11" bestFit="1" customWidth="1"/>
    <col min="18" max="18" width="11.5" customWidth="1"/>
    <col min="20" max="20" width="9.6640625" customWidth="1"/>
    <col min="22" max="23" width="11" bestFit="1" customWidth="1"/>
    <col min="26" max="27" width="11" bestFit="1" customWidth="1"/>
  </cols>
  <sheetData>
    <row r="5" spans="4:36" x14ac:dyDescent="0.2">
      <c r="D5" s="31" t="s">
        <v>51</v>
      </c>
      <c r="E5" s="32"/>
      <c r="F5" s="32"/>
      <c r="G5" s="32"/>
      <c r="H5" s="33"/>
      <c r="K5" s="31" t="s">
        <v>49</v>
      </c>
      <c r="L5" s="33"/>
      <c r="N5" s="31" t="s">
        <v>62</v>
      </c>
      <c r="O5" s="32"/>
      <c r="P5" s="32"/>
      <c r="Q5" s="32"/>
      <c r="R5" s="33"/>
      <c r="U5" s="31" t="s">
        <v>137</v>
      </c>
      <c r="V5" s="33"/>
      <c r="X5" s="31" t="s">
        <v>104</v>
      </c>
      <c r="Y5" s="32"/>
      <c r="Z5" s="32"/>
      <c r="AA5" s="32"/>
      <c r="AB5" s="33"/>
      <c r="AF5" s="31" t="s">
        <v>223</v>
      </c>
      <c r="AG5" s="32"/>
      <c r="AH5" s="32"/>
      <c r="AI5" s="32"/>
      <c r="AJ5" s="33"/>
    </row>
    <row r="6" spans="4:36" x14ac:dyDescent="0.2">
      <c r="D6" s="5" t="s">
        <v>50</v>
      </c>
      <c r="E6" s="18">
        <v>2.0201E-2</v>
      </c>
      <c r="H6" s="6"/>
      <c r="K6" s="5" t="s">
        <v>55</v>
      </c>
      <c r="L6" s="18">
        <v>105</v>
      </c>
      <c r="N6" s="5" t="s">
        <v>3</v>
      </c>
      <c r="O6" s="22">
        <v>0</v>
      </c>
      <c r="P6" s="22">
        <v>1</v>
      </c>
      <c r="Q6" s="22">
        <v>2</v>
      </c>
      <c r="R6" s="23">
        <v>3</v>
      </c>
      <c r="T6" s="46" t="s">
        <v>107</v>
      </c>
      <c r="U6" s="5" t="s">
        <v>55</v>
      </c>
      <c r="V6" s="18">
        <v>105</v>
      </c>
      <c r="X6" s="2" t="s">
        <v>3</v>
      </c>
      <c r="Y6" s="45">
        <v>0</v>
      </c>
      <c r="Z6" s="45">
        <v>1</v>
      </c>
      <c r="AA6" s="45">
        <v>2</v>
      </c>
      <c r="AB6" s="41">
        <v>3</v>
      </c>
      <c r="AF6" s="5" t="s">
        <v>3</v>
      </c>
      <c r="AG6" s="22">
        <v>0</v>
      </c>
      <c r="AH6" s="22">
        <v>1</v>
      </c>
      <c r="AI6" s="22">
        <v>2</v>
      </c>
      <c r="AJ6" s="23">
        <v>3</v>
      </c>
    </row>
    <row r="7" spans="4:36" x14ac:dyDescent="0.2">
      <c r="D7" s="5" t="s">
        <v>52</v>
      </c>
      <c r="E7" s="6">
        <f>F14/E15</f>
        <v>1.1000000000000001</v>
      </c>
      <c r="H7" s="6"/>
      <c r="K7" s="5" t="s">
        <v>56</v>
      </c>
      <c r="L7" s="19">
        <v>3</v>
      </c>
      <c r="N7" s="5"/>
      <c r="R7" s="6">
        <f>MAX(H12-$L$6,0)</f>
        <v>28.099999999999994</v>
      </c>
      <c r="U7" s="5" t="s">
        <v>56</v>
      </c>
      <c r="V7" s="19">
        <v>3</v>
      </c>
      <c r="X7" s="5"/>
      <c r="AB7" s="6">
        <f>MAX(H12-$V$6,0)</f>
        <v>28.099999999999994</v>
      </c>
      <c r="AF7" s="5"/>
      <c r="AJ7" s="6">
        <f>H12</f>
        <v>133.1</v>
      </c>
    </row>
    <row r="8" spans="4:36" x14ac:dyDescent="0.2">
      <c r="D8" s="5" t="s">
        <v>53</v>
      </c>
      <c r="E8" s="6">
        <f>F15/E15</f>
        <v>0.9</v>
      </c>
      <c r="H8" s="6"/>
      <c r="K8" s="13" t="s">
        <v>68</v>
      </c>
      <c r="L8" s="15">
        <f>O10</f>
        <v>7.3329178776562705</v>
      </c>
      <c r="N8" s="5"/>
      <c r="Q8">
        <f>($E$9*R7+$E$10*R8)/(1+$E$6)</f>
        <v>18.079104999897059</v>
      </c>
      <c r="R8" s="6">
        <f t="shared" ref="R8:R10" si="0">MAX(H13-$L$6,0)</f>
        <v>3.9000000000000057</v>
      </c>
      <c r="U8" s="5" t="s">
        <v>68</v>
      </c>
      <c r="V8" s="6">
        <f>Y10</f>
        <v>7.3329178776562705</v>
      </c>
      <c r="X8" s="5"/>
      <c r="AA8">
        <f>MAX((($E$9*AB7+$E$10*AB8)/(1+$E$6)),0,(G13-$V$6))</f>
        <v>18.079104999897059</v>
      </c>
      <c r="AB8" s="6">
        <f t="shared" ref="AB8:AB10" si="1">MAX(H13-$V$6,0)</f>
        <v>3.9000000000000057</v>
      </c>
      <c r="AF8" s="5"/>
      <c r="AI8">
        <f>AJ7*$E$9+AJ8*$E$10</f>
        <v>123.44432099999997</v>
      </c>
      <c r="AJ8" s="6">
        <f t="shared" ref="AJ8:AJ10" si="2">H13</f>
        <v>108.9</v>
      </c>
    </row>
    <row r="9" spans="4:36" x14ac:dyDescent="0.2">
      <c r="D9" s="5" t="s">
        <v>60</v>
      </c>
      <c r="E9" s="6">
        <f>(1+E6-E8)/(E7-E8)</f>
        <v>0.60100499999999923</v>
      </c>
      <c r="H9" s="6"/>
      <c r="N9" s="5"/>
      <c r="P9">
        <f>($E$9*Q8+$E$10*Q9)/(1+$E$6)</f>
        <v>11.549024677851234</v>
      </c>
      <c r="Q9">
        <f t="shared" ref="Q9" si="3">($E$9*R8+$E$10*R9)/(1+$E$6)</f>
        <v>2.2975075499827984</v>
      </c>
      <c r="R9" s="6">
        <f>MAX(H14-$L$6,0)</f>
        <v>0</v>
      </c>
      <c r="U9" s="3"/>
      <c r="V9" s="3"/>
      <c r="X9" s="5"/>
      <c r="Z9">
        <f t="shared" ref="Z9:Z10" si="4">MAX((($E$9*AA8+$E$10*AA9)/(1+$E$6)),0,(F14-$V$6))</f>
        <v>11.549024677851234</v>
      </c>
      <c r="AA9">
        <f t="shared" ref="AA9:AA10" si="5">MAX((($E$9*AB8+$E$10*AB9)/(1+$E$6)),0,(G14-$V$6))</f>
        <v>2.2975075499827984</v>
      </c>
      <c r="AB9" s="6">
        <f t="shared" si="1"/>
        <v>0</v>
      </c>
      <c r="AF9" s="5"/>
      <c r="AH9">
        <f>AI8*$E$9+AI9*$E$10</f>
        <v>114.48910884410995</v>
      </c>
      <c r="AI9">
        <f>AJ8*$E$9+AJ9*$E$10</f>
        <v>100.99989899999997</v>
      </c>
      <c r="AJ9" s="6">
        <f t="shared" si="2"/>
        <v>89.1</v>
      </c>
    </row>
    <row r="10" spans="4:36" x14ac:dyDescent="0.2">
      <c r="D10" s="13" t="s">
        <v>54</v>
      </c>
      <c r="E10" s="15">
        <f>1-E9</f>
        <v>0.39899500000000077</v>
      </c>
      <c r="H10" s="6"/>
      <c r="N10" s="13"/>
      <c r="O10" s="14">
        <f>($E$9*P9+$E$10*P10)/(1+$E$6)</f>
        <v>7.3329178776562705</v>
      </c>
      <c r="P10" s="14">
        <f>($E$9*Q9+$E$10*Q10)/(1+$E$6)</f>
        <v>1.3534720364687058</v>
      </c>
      <c r="Q10" s="14">
        <f>($E$9*R9+$E$10*R10)/(1+$E$6)</f>
        <v>0</v>
      </c>
      <c r="R10" s="15">
        <f t="shared" si="0"/>
        <v>0</v>
      </c>
      <c r="X10" s="13"/>
      <c r="Y10" s="14">
        <f>MAX((($E$9*Z9+$E$10*Z10)/(1+$E$6)),0,(E15-$V$6))</f>
        <v>7.3329178776562705</v>
      </c>
      <c r="Z10" s="14">
        <f t="shared" si="4"/>
        <v>1.3534720364687058</v>
      </c>
      <c r="AA10" s="14">
        <f t="shared" si="5"/>
        <v>0</v>
      </c>
      <c r="AB10" s="15">
        <f t="shared" si="1"/>
        <v>0</v>
      </c>
      <c r="AF10" s="13"/>
      <c r="AG10" s="14">
        <f>AH9*$E$9+AH10*$E$10</f>
        <v>106.183548483518</v>
      </c>
      <c r="AH10" s="14">
        <f>AI9*$E$9+AI10*$E$10</f>
        <v>93.672907236089969</v>
      </c>
      <c r="AI10" s="14">
        <f>AJ9*$E$9+AJ10*$E$10</f>
        <v>82.636280999999983</v>
      </c>
      <c r="AJ10" s="15">
        <f t="shared" si="2"/>
        <v>72.900000000000006</v>
      </c>
    </row>
    <row r="11" spans="4:36" x14ac:dyDescent="0.2">
      <c r="D11" s="5" t="s">
        <v>3</v>
      </c>
      <c r="E11" s="22">
        <v>0</v>
      </c>
      <c r="F11" s="22">
        <v>1</v>
      </c>
      <c r="G11" s="22">
        <v>2</v>
      </c>
      <c r="H11" s="23">
        <v>3</v>
      </c>
    </row>
    <row r="12" spans="4:36" x14ac:dyDescent="0.2">
      <c r="D12" s="5"/>
      <c r="H12" s="18">
        <v>133.1</v>
      </c>
    </row>
    <row r="13" spans="4:36" x14ac:dyDescent="0.2">
      <c r="D13" s="5"/>
      <c r="G13" s="7">
        <v>121</v>
      </c>
      <c r="H13" s="18">
        <v>108.9</v>
      </c>
      <c r="AF13" s="31" t="s">
        <v>225</v>
      </c>
      <c r="AG13" s="32"/>
      <c r="AH13" s="32"/>
      <c r="AI13" s="32"/>
      <c r="AJ13" s="33"/>
    </row>
    <row r="14" spans="4:36" x14ac:dyDescent="0.2">
      <c r="D14" s="5"/>
      <c r="F14" s="7">
        <v>110</v>
      </c>
      <c r="G14" s="7">
        <v>99</v>
      </c>
      <c r="H14" s="18">
        <v>89.1</v>
      </c>
      <c r="U14" s="31" t="s">
        <v>102</v>
      </c>
      <c r="V14" s="33"/>
      <c r="X14" s="31" t="s">
        <v>105</v>
      </c>
      <c r="Y14" s="32"/>
      <c r="Z14" s="32"/>
      <c r="AA14" s="32"/>
      <c r="AB14" s="33"/>
      <c r="AF14" s="5" t="s">
        <v>3</v>
      </c>
      <c r="AG14" s="22">
        <v>0</v>
      </c>
      <c r="AH14" s="22">
        <v>1</v>
      </c>
      <c r="AI14" s="22">
        <v>2</v>
      </c>
      <c r="AJ14" s="23">
        <v>3</v>
      </c>
    </row>
    <row r="15" spans="4:36" x14ac:dyDescent="0.2">
      <c r="D15" s="13"/>
      <c r="E15" s="39">
        <v>100</v>
      </c>
      <c r="F15" s="39">
        <v>90</v>
      </c>
      <c r="G15" s="39">
        <v>81</v>
      </c>
      <c r="H15" s="36">
        <v>72.900000000000006</v>
      </c>
      <c r="K15" s="31" t="s">
        <v>61</v>
      </c>
      <c r="L15" s="33"/>
      <c r="N15" s="31" t="s">
        <v>67</v>
      </c>
      <c r="O15" s="32"/>
      <c r="P15" s="32"/>
      <c r="Q15" s="32"/>
      <c r="R15" s="33"/>
      <c r="U15" s="51" t="s">
        <v>153</v>
      </c>
      <c r="V15" s="6">
        <f>V6</f>
        <v>105</v>
      </c>
      <c r="X15" s="5" t="s">
        <v>3</v>
      </c>
      <c r="Y15" s="22">
        <v>0</v>
      </c>
      <c r="Z15" s="22">
        <v>1</v>
      </c>
      <c r="AA15" s="22">
        <v>2</v>
      </c>
      <c r="AB15" s="23">
        <v>3</v>
      </c>
      <c r="AF15" s="5"/>
      <c r="AJ15" s="64">
        <f>AJ7-AI8</f>
        <v>9.6556790000000206</v>
      </c>
    </row>
    <row r="16" spans="4:36" x14ac:dyDescent="0.2">
      <c r="K16" s="51" t="s">
        <v>153</v>
      </c>
      <c r="L16" s="6">
        <f>L6</f>
        <v>105</v>
      </c>
      <c r="N16" s="5" t="s">
        <v>3</v>
      </c>
      <c r="O16" s="22">
        <v>0</v>
      </c>
      <c r="P16" s="22">
        <v>1</v>
      </c>
      <c r="Q16" s="22">
        <v>2</v>
      </c>
      <c r="R16" s="23">
        <v>3</v>
      </c>
      <c r="U16" s="5" t="s">
        <v>69</v>
      </c>
      <c r="V16" s="6">
        <f>V7</f>
        <v>3</v>
      </c>
      <c r="X16" s="5"/>
      <c r="AB16" s="6">
        <f>MAX($V$6-H12,0)</f>
        <v>0</v>
      </c>
      <c r="AF16" s="5"/>
      <c r="AI16" s="63">
        <f>AI8-AH9</f>
        <v>8.955212155890024</v>
      </c>
      <c r="AJ16" s="67">
        <f>AJ8-AI8</f>
        <v>-14.544320999999968</v>
      </c>
    </row>
    <row r="17" spans="4:37" x14ac:dyDescent="0.2">
      <c r="K17" s="5" t="s">
        <v>69</v>
      </c>
      <c r="L17" s="6">
        <f>L7</f>
        <v>3</v>
      </c>
      <c r="N17" s="5"/>
      <c r="R17" s="6">
        <f>MAX($L$6-H12,0)</f>
        <v>0</v>
      </c>
      <c r="U17" s="13" t="s">
        <v>91</v>
      </c>
      <c r="V17" s="15">
        <f>Y19</f>
        <v>7.2991096505945094</v>
      </c>
      <c r="X17" s="5"/>
      <c r="AA17">
        <f>MAX((($E$9*AB16+$E$10*AB17)/(1+$E$6)),0,($V$6-G13))</f>
        <v>0</v>
      </c>
      <c r="AB17" s="6">
        <f>MAX($V$6-H13,0)</f>
        <v>0</v>
      </c>
      <c r="AF17" s="5"/>
      <c r="AH17" s="63">
        <f>AH9-AG10</f>
        <v>8.3055603605919543</v>
      </c>
      <c r="AJ17" s="64">
        <f>AJ8-AI9</f>
        <v>7.9001010000000349</v>
      </c>
      <c r="AK17" s="46" t="s">
        <v>227</v>
      </c>
    </row>
    <row r="18" spans="4:37" x14ac:dyDescent="0.2">
      <c r="D18" s="31" t="s">
        <v>66</v>
      </c>
      <c r="E18" s="32"/>
      <c r="F18" s="32"/>
      <c r="G18" s="32"/>
      <c r="H18" s="32"/>
      <c r="I18" s="33"/>
      <c r="K18" s="13" t="s">
        <v>91</v>
      </c>
      <c r="L18" s="15">
        <f>O20</f>
        <v>6.2182927776091361</v>
      </c>
      <c r="N18" s="5"/>
      <c r="Q18">
        <f>($E$9*R17+$E$10*R18)/(1+$E$6)</f>
        <v>0</v>
      </c>
      <c r="R18" s="6">
        <f t="shared" ref="R18:R20" si="6">MAX($L$6-H13,0)</f>
        <v>0</v>
      </c>
      <c r="X18" s="5"/>
      <c r="Z18">
        <f t="shared" ref="Y18:AA19" si="7">MAX((($E$9*AA17+$E$10*AA18)/(1+$E$6)),0,($V$6-F14))</f>
        <v>2.4319830361580337</v>
      </c>
      <c r="AA18">
        <f>MAX((($E$9*AB17+$E$10*AB18)/(1+$E$6)),0,($V$6-G14))</f>
        <v>6.2184025500857327</v>
      </c>
      <c r="AB18" s="6">
        <f>MAX($V$6-H14,0)</f>
        <v>15.900000000000006</v>
      </c>
      <c r="AF18" s="5"/>
      <c r="AI18" s="61">
        <f>AI9-AH9</f>
        <v>-13.489209844109979</v>
      </c>
      <c r="AJ18" s="67">
        <f>AJ9-AI9</f>
        <v>-11.899898999999976</v>
      </c>
      <c r="AK18" s="46" t="s">
        <v>228</v>
      </c>
    </row>
    <row r="19" spans="4:37" x14ac:dyDescent="0.2">
      <c r="D19" s="5" t="s">
        <v>63</v>
      </c>
      <c r="E19" t="s">
        <v>64</v>
      </c>
      <c r="F19" t="s">
        <v>63</v>
      </c>
      <c r="G19" t="s">
        <v>65</v>
      </c>
      <c r="H19" t="s">
        <v>63</v>
      </c>
      <c r="I19" s="6" t="s">
        <v>77</v>
      </c>
      <c r="N19" s="5"/>
      <c r="P19">
        <f t="shared" ref="P19" si="8">($E$9*Q18+$E$10*Q19)/(1+$E$6)</f>
        <v>2.4319830361580337</v>
      </c>
      <c r="Q19">
        <f>($E$9*R18+$E$10*R19)/(1+$E$6)</f>
        <v>6.2184025500857327</v>
      </c>
      <c r="R19" s="6">
        <f t="shared" si="6"/>
        <v>15.900000000000006</v>
      </c>
      <c r="X19" s="13"/>
      <c r="Y19" s="14">
        <f t="shared" si="7"/>
        <v>7.2991096505945094</v>
      </c>
      <c r="Z19" s="14">
        <f t="shared" si="7"/>
        <v>15</v>
      </c>
      <c r="AA19" s="14">
        <f t="shared" si="7"/>
        <v>24</v>
      </c>
      <c r="AB19" s="15">
        <f>MAX($V$6-H15,0)</f>
        <v>32.099999999999994</v>
      </c>
      <c r="AF19" s="5"/>
      <c r="AG19" s="22">
        <v>0</v>
      </c>
      <c r="AJ19" s="64">
        <f>AJ8-AI9</f>
        <v>7.9001010000000349</v>
      </c>
      <c r="AK19" s="46" t="s">
        <v>229</v>
      </c>
    </row>
    <row r="20" spans="4:37" x14ac:dyDescent="0.2">
      <c r="D20" s="5"/>
      <c r="H20" s="20" t="s">
        <v>1</v>
      </c>
      <c r="I20" s="21">
        <f>H12/G13</f>
        <v>1.0999999999999999</v>
      </c>
      <c r="N20" s="13"/>
      <c r="O20" s="14">
        <f>($E$9*P19+$E$10*P20)/(1+$E$6)</f>
        <v>6.2182927776091361</v>
      </c>
      <c r="P20" s="14">
        <f t="shared" ref="P20" si="9">($E$9*Q19+$E$10*Q20)/(1+$E$6)</f>
        <v>12.2364303947755</v>
      </c>
      <c r="Q20" s="14">
        <f>($E$9*R19+$E$10*R20)/(1+$E$6)</f>
        <v>21.920895000102934</v>
      </c>
      <c r="R20" s="15">
        <f t="shared" si="6"/>
        <v>32.099999999999994</v>
      </c>
      <c r="AF20" s="5"/>
      <c r="AI20" s="63">
        <f>AI9-AH10</f>
        <v>7.3269917639100015</v>
      </c>
      <c r="AJ20" s="67">
        <f>AJ9-AI9</f>
        <v>-11.899898999999976</v>
      </c>
      <c r="AK20" s="46" t="s">
        <v>230</v>
      </c>
    </row>
    <row r="21" spans="4:37" x14ac:dyDescent="0.2">
      <c r="D21" s="5"/>
      <c r="F21" s="20" t="s">
        <v>1</v>
      </c>
      <c r="G21" s="20">
        <f>G13/F14</f>
        <v>1.1000000000000001</v>
      </c>
      <c r="H21" s="22" t="s">
        <v>2</v>
      </c>
      <c r="I21" s="23">
        <f>H13/G13</f>
        <v>0.9</v>
      </c>
      <c r="U21" s="31" t="s">
        <v>103</v>
      </c>
      <c r="V21" s="33"/>
      <c r="X21" s="31" t="s">
        <v>106</v>
      </c>
      <c r="Y21" s="32"/>
      <c r="Z21" s="32"/>
      <c r="AA21" s="32"/>
      <c r="AB21" s="33"/>
      <c r="AF21" s="5"/>
      <c r="AH21" s="61">
        <f>AH10-AG10</f>
        <v>-12.510641247428026</v>
      </c>
      <c r="AJ21" s="64">
        <f>AJ9-AI10</f>
        <v>6.4637190000000118</v>
      </c>
    </row>
    <row r="22" spans="4:37" x14ac:dyDescent="0.2">
      <c r="D22" s="27" t="s">
        <v>1</v>
      </c>
      <c r="E22" s="20">
        <f>F14/E15</f>
        <v>1.1000000000000001</v>
      </c>
      <c r="F22" s="22" t="s">
        <v>2</v>
      </c>
      <c r="G22" s="22">
        <f>G14/F14</f>
        <v>0.9</v>
      </c>
      <c r="H22" s="20" t="s">
        <v>1</v>
      </c>
      <c r="I22" s="21">
        <f>H13/G14</f>
        <v>1.1000000000000001</v>
      </c>
      <c r="K22" s="31" t="s">
        <v>70</v>
      </c>
      <c r="L22" s="33"/>
      <c r="N22" s="31" t="s">
        <v>71</v>
      </c>
      <c r="O22" s="32"/>
      <c r="P22" s="32"/>
      <c r="Q22" s="32"/>
      <c r="R22" s="33"/>
      <c r="T22" s="46" t="s">
        <v>107</v>
      </c>
      <c r="U22" s="51" t="s">
        <v>153</v>
      </c>
      <c r="V22" s="18">
        <v>60</v>
      </c>
      <c r="X22" s="5" t="s">
        <v>3</v>
      </c>
      <c r="Y22" s="22">
        <v>0</v>
      </c>
      <c r="Z22" s="22">
        <v>1</v>
      </c>
      <c r="AA22" s="22">
        <v>2</v>
      </c>
      <c r="AB22" s="23">
        <v>3</v>
      </c>
      <c r="AF22" s="13"/>
      <c r="AG22" s="14"/>
      <c r="AH22" s="14"/>
      <c r="AI22" s="65">
        <f>AI10-AH10</f>
        <v>-11.036626236089987</v>
      </c>
      <c r="AJ22" s="62">
        <f>AJ10-AI10</f>
        <v>-9.7362809999999769</v>
      </c>
    </row>
    <row r="23" spans="4:37" x14ac:dyDescent="0.2">
      <c r="D23" s="25" t="s">
        <v>2</v>
      </c>
      <c r="E23" s="22">
        <f>F15/E15</f>
        <v>0.9</v>
      </c>
      <c r="F23" s="20" t="s">
        <v>1</v>
      </c>
      <c r="G23" s="20">
        <f>G14/F15</f>
        <v>1.1000000000000001</v>
      </c>
      <c r="H23" s="22" t="s">
        <v>2</v>
      </c>
      <c r="I23" s="23">
        <f>H14/G14</f>
        <v>0.89999999999999991</v>
      </c>
      <c r="K23" s="51" t="s">
        <v>153</v>
      </c>
      <c r="L23" s="18">
        <v>95</v>
      </c>
      <c r="N23" s="5" t="s">
        <v>3</v>
      </c>
      <c r="O23" s="22">
        <v>0</v>
      </c>
      <c r="P23" s="22">
        <v>1</v>
      </c>
      <c r="Q23" s="22">
        <v>2</v>
      </c>
      <c r="R23" s="23">
        <v>3</v>
      </c>
      <c r="U23" s="5" t="s">
        <v>69</v>
      </c>
      <c r="V23" s="19">
        <v>3</v>
      </c>
      <c r="X23" s="5"/>
      <c r="AB23" s="6">
        <f>MAX($V$22-H12,0)</f>
        <v>0</v>
      </c>
    </row>
    <row r="24" spans="4:37" x14ac:dyDescent="0.2">
      <c r="D24" s="5"/>
      <c r="F24" s="22" t="s">
        <v>2</v>
      </c>
      <c r="G24" s="22">
        <f>G15/F15</f>
        <v>0.9</v>
      </c>
      <c r="H24" s="20" t="s">
        <v>1</v>
      </c>
      <c r="I24" s="21">
        <f>H14/G15</f>
        <v>1.0999999999999999</v>
      </c>
      <c r="K24" s="5" t="s">
        <v>69</v>
      </c>
      <c r="L24" s="19">
        <v>3</v>
      </c>
      <c r="N24" s="5"/>
      <c r="R24" s="6">
        <f>MAX($L$23-H12,0)</f>
        <v>0</v>
      </c>
      <c r="U24" s="13" t="s">
        <v>91</v>
      </c>
      <c r="V24" s="15">
        <f>Y26</f>
        <v>0</v>
      </c>
      <c r="X24" s="5"/>
      <c r="AA24">
        <f>MAX((($E$9*AB23+$E$10*AB24)/(1+$E$6)),0,($V$22-G13))</f>
        <v>0</v>
      </c>
      <c r="AB24" s="6">
        <f>MAX($V$22-H13,0)</f>
        <v>0</v>
      </c>
    </row>
    <row r="25" spans="4:37" x14ac:dyDescent="0.2">
      <c r="D25" s="13"/>
      <c r="E25" s="14"/>
      <c r="F25" s="14"/>
      <c r="G25" s="14"/>
      <c r="H25" s="26" t="s">
        <v>2</v>
      </c>
      <c r="I25" s="24">
        <f>H15/G15</f>
        <v>0.9</v>
      </c>
      <c r="K25" s="13" t="s">
        <v>91</v>
      </c>
      <c r="L25" s="15">
        <f>O27</f>
        <v>2.9169018083709517</v>
      </c>
      <c r="N25" s="5"/>
      <c r="Q25">
        <f>($E$9*R24+$E$10*R25)/(1+$E$6)</f>
        <v>0</v>
      </c>
      <c r="R25" s="6">
        <f t="shared" ref="R25:R27" si="10">MAX($L$23-H13,0)</f>
        <v>0</v>
      </c>
      <c r="X25" s="5"/>
      <c r="Z25">
        <f t="shared" ref="Z25:AA26" si="11">MAX((($E$9*AA24+$E$10*AA25)/(1+$E$6)),0,($V$22-F14))</f>
        <v>0</v>
      </c>
      <c r="AA25">
        <f t="shared" si="11"/>
        <v>0</v>
      </c>
      <c r="AB25" s="6">
        <f>MAX($V$22-H14,0)</f>
        <v>0</v>
      </c>
      <c r="AF25" s="31" t="s">
        <v>226</v>
      </c>
      <c r="AG25" s="32"/>
      <c r="AH25" s="32"/>
      <c r="AI25" s="32"/>
      <c r="AJ25" s="33"/>
    </row>
    <row r="26" spans="4:37" x14ac:dyDescent="0.2">
      <c r="N26" s="5"/>
      <c r="P26">
        <f t="shared" ref="P26:Q26" si="12">($E$9*Q25+$E$10*Q26)/(1+$E$6)</f>
        <v>0.90243395681335892</v>
      </c>
      <c r="Q26">
        <f t="shared" si="12"/>
        <v>2.3074575500318142</v>
      </c>
      <c r="R26" s="6">
        <f t="shared" si="10"/>
        <v>5.9000000000000057</v>
      </c>
      <c r="X26" s="13"/>
      <c r="Y26" s="14">
        <f>MAX((($E$9*Z25+$E$10*Z26)/(1+$E$6)),0,($V$22-E15))</f>
        <v>0</v>
      </c>
      <c r="Z26" s="14">
        <f t="shared" si="11"/>
        <v>0</v>
      </c>
      <c r="AA26" s="14">
        <f t="shared" si="11"/>
        <v>0</v>
      </c>
      <c r="AB26" s="15">
        <f>MAX($V$22-H15,0)</f>
        <v>0</v>
      </c>
      <c r="AF26" s="5" t="s">
        <v>3</v>
      </c>
      <c r="AG26" s="22">
        <v>0</v>
      </c>
      <c r="AH26" s="22">
        <v>1</v>
      </c>
      <c r="AI26" s="22">
        <v>2</v>
      </c>
      <c r="AJ26" s="23">
        <v>3</v>
      </c>
    </row>
    <row r="27" spans="4:37" x14ac:dyDescent="0.2">
      <c r="N27" s="13"/>
      <c r="O27" s="14">
        <f>($E$9*P26+$E$10*P27)/(1+$E$6)</f>
        <v>2.9169018083709517</v>
      </c>
      <c r="P27" s="14">
        <f>($E$9*Q26+$E$10*Q27)/(1+$E$6)</f>
        <v>6.0989707178968056</v>
      </c>
      <c r="Q27" s="14">
        <f t="shared" ref="Q27" si="13">($E$9*R26+$E$10*R27)/(1+$E$6)</f>
        <v>12.118905000093134</v>
      </c>
      <c r="R27" s="15">
        <f t="shared" si="10"/>
        <v>22.099999999999994</v>
      </c>
      <c r="AF27" s="5"/>
      <c r="AJ27" s="64">
        <f>-AJ15</f>
        <v>-9.6556790000000206</v>
      </c>
    </row>
    <row r="28" spans="4:37" x14ac:dyDescent="0.2">
      <c r="AF28" s="5"/>
      <c r="AI28" s="63">
        <f>-AI16</f>
        <v>-8.955212155890024</v>
      </c>
      <c r="AJ28" s="67">
        <f>-AJ16</f>
        <v>14.544320999999968</v>
      </c>
    </row>
    <row r="29" spans="4:37" x14ac:dyDescent="0.2">
      <c r="D29" s="31" t="s">
        <v>74</v>
      </c>
      <c r="E29" s="32"/>
      <c r="F29" s="32"/>
      <c r="G29" s="33"/>
      <c r="H29" t="s">
        <v>165</v>
      </c>
      <c r="AF29" s="5"/>
      <c r="AH29" s="63">
        <f>-AH17</f>
        <v>-8.3055603605919543</v>
      </c>
      <c r="AJ29" s="64">
        <f t="shared" ref="AJ29:AJ34" si="14">-AJ17</f>
        <v>-7.9001010000000349</v>
      </c>
      <c r="AK29" s="46" t="s">
        <v>227</v>
      </c>
    </row>
    <row r="30" spans="4:37" x14ac:dyDescent="0.2">
      <c r="D30" s="5" t="s">
        <v>73</v>
      </c>
      <c r="E30">
        <f>L8</f>
        <v>7.3329178776562705</v>
      </c>
      <c r="F30" t="s">
        <v>75</v>
      </c>
      <c r="G30" s="43">
        <f>-E15+(1/((1+E6)^L7))*L6+E30</f>
        <v>6.218292777609121</v>
      </c>
      <c r="H30">
        <f>IF(AND(E30&lt;=G31+0.00001,E30&gt;=G31-0.0000001),0,1)</f>
        <v>0</v>
      </c>
      <c r="AF30" s="5"/>
      <c r="AI30" s="61">
        <f>-AI18</f>
        <v>13.489209844109979</v>
      </c>
      <c r="AJ30" s="67">
        <f t="shared" si="14"/>
        <v>11.899898999999976</v>
      </c>
      <c r="AK30" s="46" t="s">
        <v>228</v>
      </c>
    </row>
    <row r="31" spans="4:37" x14ac:dyDescent="0.2">
      <c r="D31" s="13" t="s">
        <v>72</v>
      </c>
      <c r="E31" s="14">
        <f>L18</f>
        <v>6.2182927776091361</v>
      </c>
      <c r="F31" s="14" t="s">
        <v>76</v>
      </c>
      <c r="G31" s="44">
        <f>E15-(1/((1+E6)^L7))*L6+E31</f>
        <v>7.3329178776562856</v>
      </c>
      <c r="H31">
        <f>IF(AND(E31&lt;=G30+0.00001,E31&gt;=G30-0.0000001),0,1)</f>
        <v>0</v>
      </c>
      <c r="AF31" s="5"/>
      <c r="AG31" s="22">
        <v>0</v>
      </c>
      <c r="AJ31" s="64">
        <f t="shared" si="14"/>
        <v>-7.9001010000000349</v>
      </c>
      <c r="AK31" s="46" t="s">
        <v>229</v>
      </c>
    </row>
    <row r="32" spans="4:37" x14ac:dyDescent="0.2">
      <c r="AF32" s="5"/>
      <c r="AI32" s="63">
        <f>-AI20</f>
        <v>-7.3269917639100015</v>
      </c>
      <c r="AJ32" s="67">
        <f t="shared" si="14"/>
        <v>11.899898999999976</v>
      </c>
      <c r="AK32" s="46" t="s">
        <v>230</v>
      </c>
    </row>
    <row r="33" spans="4:36" x14ac:dyDescent="0.2">
      <c r="AF33" s="5"/>
      <c r="AH33" s="61">
        <f>-AH21</f>
        <v>12.510641247428026</v>
      </c>
      <c r="AJ33" s="64">
        <f t="shared" si="14"/>
        <v>-6.4637190000000118</v>
      </c>
    </row>
    <row r="34" spans="4:36" x14ac:dyDescent="0.2">
      <c r="D34" t="s">
        <v>99</v>
      </c>
      <c r="H34" t="s">
        <v>100</v>
      </c>
      <c r="L34" t="s">
        <v>101</v>
      </c>
      <c r="Q34" t="s">
        <v>109</v>
      </c>
      <c r="U34" t="s">
        <v>110</v>
      </c>
      <c r="Y34" t="s">
        <v>111</v>
      </c>
      <c r="AF34" s="13"/>
      <c r="AG34" s="14"/>
      <c r="AH34" s="14"/>
      <c r="AI34" s="65">
        <f>-AI22</f>
        <v>11.036626236089987</v>
      </c>
      <c r="AJ34" s="62">
        <f t="shared" si="14"/>
        <v>9.7362809999999769</v>
      </c>
    </row>
    <row r="35" spans="4:36" x14ac:dyDescent="0.2">
      <c r="D35" s="28" t="s">
        <v>88</v>
      </c>
      <c r="E35" s="30"/>
      <c r="H35" s="31" t="s">
        <v>89</v>
      </c>
      <c r="I35" s="33"/>
      <c r="L35" s="31" t="s">
        <v>89</v>
      </c>
      <c r="M35" s="33"/>
      <c r="Q35" s="28" t="s">
        <v>88</v>
      </c>
      <c r="R35" s="30"/>
      <c r="U35" s="31" t="s">
        <v>89</v>
      </c>
      <c r="V35" s="33"/>
      <c r="Y35" s="31" t="s">
        <v>98</v>
      </c>
      <c r="Z35" s="33"/>
    </row>
    <row r="36" spans="4:36" x14ac:dyDescent="0.2">
      <c r="D36" s="40" t="s">
        <v>112</v>
      </c>
      <c r="E36" s="41">
        <f>$G$13</f>
        <v>121</v>
      </c>
      <c r="H36" s="40" t="s">
        <v>112</v>
      </c>
      <c r="I36" s="41">
        <f>$G$13</f>
        <v>121</v>
      </c>
      <c r="L36" s="40" t="s">
        <v>112</v>
      </c>
      <c r="M36" s="41">
        <f>$G$13</f>
        <v>121</v>
      </c>
      <c r="Q36" s="40" t="s">
        <v>112</v>
      </c>
      <c r="R36" s="41">
        <f>$G$13</f>
        <v>121</v>
      </c>
      <c r="U36" s="40" t="s">
        <v>112</v>
      </c>
      <c r="V36" s="41">
        <f>$G$13</f>
        <v>121</v>
      </c>
      <c r="Y36" s="40" t="s">
        <v>112</v>
      </c>
      <c r="Z36" s="41">
        <f>$G$13</f>
        <v>121</v>
      </c>
    </row>
    <row r="37" spans="4:36" x14ac:dyDescent="0.2">
      <c r="D37" s="5" t="s">
        <v>78</v>
      </c>
      <c r="E37" s="6">
        <f>($R$7-$R$8)/($H$12-$H$13)</f>
        <v>1</v>
      </c>
      <c r="H37" s="5" t="s">
        <v>78</v>
      </c>
      <c r="I37" s="6">
        <f>($R$17-$R$18)/($H$12-$H$13)</f>
        <v>0</v>
      </c>
      <c r="L37" s="5" t="s">
        <v>78</v>
      </c>
      <c r="M37" s="6">
        <f>($R$24-$R$25)/($H$12-$H$13)</f>
        <v>0</v>
      </c>
      <c r="Q37" s="5" t="s">
        <v>78</v>
      </c>
      <c r="R37" s="6">
        <f>($AB$7-$AB$8)/($H$12-$H$13)</f>
        <v>1</v>
      </c>
      <c r="U37" s="5" t="s">
        <v>78</v>
      </c>
      <c r="V37" s="6">
        <f>($AB$16-$AB$17)/($H$12-$H$13)</f>
        <v>0</v>
      </c>
      <c r="Y37" s="5" t="s">
        <v>78</v>
      </c>
      <c r="Z37" s="6">
        <f>($AB$23-$AB$24)/($H$12-$H$13)</f>
        <v>0</v>
      </c>
    </row>
    <row r="38" spans="4:36" x14ac:dyDescent="0.2">
      <c r="D38" s="5" t="s">
        <v>134</v>
      </c>
      <c r="E38" s="6">
        <f>($R$7-$E$37*$H$12)/(1+$E$6)</f>
        <v>-102.92089500010293</v>
      </c>
      <c r="F38" t="s">
        <v>117</v>
      </c>
      <c r="H38" s="5" t="s">
        <v>134</v>
      </c>
      <c r="I38" s="6">
        <f>($R$17-I$37*$H$12)/(1+$E$6)</f>
        <v>0</v>
      </c>
      <c r="J38" t="s">
        <v>123</v>
      </c>
      <c r="L38" s="5" t="s">
        <v>134</v>
      </c>
      <c r="M38" s="6">
        <f>($R$24-M$37*$H$12)/(1+$E$6)</f>
        <v>0</v>
      </c>
      <c r="N38" t="s">
        <v>123</v>
      </c>
      <c r="Q38" s="5" t="s">
        <v>134</v>
      </c>
      <c r="R38" s="6">
        <f>($AB$7-R$37*$H$12)/(1+$E$6)</f>
        <v>-102.92089500010293</v>
      </c>
      <c r="S38" t="s">
        <v>117</v>
      </c>
      <c r="U38" s="5" t="s">
        <v>134</v>
      </c>
      <c r="V38" s="6">
        <f>($AB$16-V$37*$H$12)/(1+$E$6)</f>
        <v>0</v>
      </c>
      <c r="W38" t="s">
        <v>123</v>
      </c>
      <c r="Y38" s="5" t="s">
        <v>134</v>
      </c>
      <c r="Z38" s="6">
        <f>($AB$23-Z$37*$H$12)/(1+$E$6)</f>
        <v>0</v>
      </c>
      <c r="AA38" t="s">
        <v>123</v>
      </c>
    </row>
    <row r="39" spans="4:36" x14ac:dyDescent="0.2">
      <c r="D39" s="13" t="s">
        <v>134</v>
      </c>
      <c r="E39" s="15">
        <f>($R$8-$E$37*$H$13)/(1+$E$6)</f>
        <v>-102.92089500010293</v>
      </c>
      <c r="F39" t="s">
        <v>119</v>
      </c>
      <c r="H39" s="13" t="s">
        <v>134</v>
      </c>
      <c r="I39" s="15">
        <f>($R$18-I$37*$H$13)/(1+$E$6)</f>
        <v>0</v>
      </c>
      <c r="J39" t="s">
        <v>124</v>
      </c>
      <c r="L39" s="13" t="s">
        <v>134</v>
      </c>
      <c r="M39" s="15">
        <f>($R$25-M$37*$H$13)/(1+$E$6)</f>
        <v>0</v>
      </c>
      <c r="N39" t="s">
        <v>124</v>
      </c>
      <c r="Q39" s="13" t="s">
        <v>134</v>
      </c>
      <c r="R39" s="15">
        <f>($AB$8-R$37*$H$13)/(1+$E$6)</f>
        <v>-102.92089500010293</v>
      </c>
      <c r="S39" t="s">
        <v>119</v>
      </c>
      <c r="U39" s="13" t="s">
        <v>134</v>
      </c>
      <c r="V39" s="15">
        <f>($AB$17-V$37*$H$13)/(1+$E$6)</f>
        <v>0</v>
      </c>
      <c r="W39" t="s">
        <v>124</v>
      </c>
      <c r="Y39" s="13" t="s">
        <v>134</v>
      </c>
      <c r="Z39" s="15">
        <f>($AB$24-Z$37*$H$13)/(1+$E$6)</f>
        <v>0</v>
      </c>
      <c r="AA39" t="s">
        <v>124</v>
      </c>
    </row>
    <row r="40" spans="4:36" x14ac:dyDescent="0.2">
      <c r="D40" s="5"/>
      <c r="E40" s="6"/>
      <c r="H40" s="5"/>
      <c r="I40" s="6"/>
      <c r="L40" s="5"/>
      <c r="M40" s="6"/>
      <c r="Q40" s="5"/>
      <c r="R40" s="6"/>
      <c r="U40" s="5"/>
      <c r="V40" s="6"/>
      <c r="Y40" s="5"/>
      <c r="Z40" s="6"/>
    </row>
    <row r="41" spans="4:36" x14ac:dyDescent="0.2">
      <c r="D41" s="40" t="s">
        <v>113</v>
      </c>
      <c r="E41" s="41">
        <f>$G$14</f>
        <v>99</v>
      </c>
      <c r="H41" s="40" t="s">
        <v>113</v>
      </c>
      <c r="I41" s="41">
        <f>$G$14</f>
        <v>99</v>
      </c>
      <c r="L41" s="40" t="s">
        <v>113</v>
      </c>
      <c r="M41" s="41">
        <f>$G$14</f>
        <v>99</v>
      </c>
      <c r="Q41" s="40" t="s">
        <v>113</v>
      </c>
      <c r="R41" s="41">
        <f>$G$14</f>
        <v>99</v>
      </c>
      <c r="U41" s="40" t="s">
        <v>113</v>
      </c>
      <c r="V41" s="41">
        <f>$G$14</f>
        <v>99</v>
      </c>
      <c r="Y41" s="40" t="s">
        <v>113</v>
      </c>
      <c r="Z41" s="41">
        <f>$G$14</f>
        <v>99</v>
      </c>
    </row>
    <row r="42" spans="4:36" x14ac:dyDescent="0.2">
      <c r="D42" s="5" t="s">
        <v>78</v>
      </c>
      <c r="E42" s="6">
        <f>($R$8-$R$9)/($H$13-$H$14)</f>
        <v>0.19696969696969716</v>
      </c>
      <c r="H42" s="5" t="s">
        <v>78</v>
      </c>
      <c r="I42" s="6">
        <f>($R$18-$R$19)/($H$13-$H$14)</f>
        <v>-0.80303030303030287</v>
      </c>
      <c r="L42" s="5" t="s">
        <v>78</v>
      </c>
      <c r="M42" s="6">
        <f>($R$25-$R$26)/($H$13-$H$14)</f>
        <v>-0.29797979797979812</v>
      </c>
      <c r="Q42" s="5" t="s">
        <v>78</v>
      </c>
      <c r="R42" s="6">
        <f>($AB$8-$AB$9)/($H$13-$H$14)</f>
        <v>0.19696969696969716</v>
      </c>
      <c r="U42" s="5" t="s">
        <v>78</v>
      </c>
      <c r="V42" s="6">
        <f>($AB$17-$AB$18)/($H$13-$H$14)</f>
        <v>-0.80303030303030287</v>
      </c>
      <c r="Y42" s="5" t="s">
        <v>78</v>
      </c>
      <c r="Z42" s="6">
        <f>($AB$24-$AB$25)/($H$13-$H$14)</f>
        <v>0</v>
      </c>
    </row>
    <row r="43" spans="4:36" x14ac:dyDescent="0.2">
      <c r="D43" s="5" t="s">
        <v>134</v>
      </c>
      <c r="E43" s="6">
        <f>($R$8-$E$42*$H$13)/(1+$E$6)</f>
        <v>-17.202492450017218</v>
      </c>
      <c r="F43" t="s">
        <v>118</v>
      </c>
      <c r="H43" s="5" t="s">
        <v>134</v>
      </c>
      <c r="I43" s="6">
        <f>($R$18-I$42*$H$13)/(1+$E$6)</f>
        <v>85.718402550085713</v>
      </c>
      <c r="J43" t="s">
        <v>125</v>
      </c>
      <c r="L43" s="5" t="s">
        <v>134</v>
      </c>
      <c r="M43" s="6">
        <f>($R$25-M$42*$H$13)/(1+$E$6)</f>
        <v>31.807457550031828</v>
      </c>
      <c r="N43" t="s">
        <v>125</v>
      </c>
      <c r="Q43" s="5" t="s">
        <v>134</v>
      </c>
      <c r="R43" s="6">
        <f>($AB$8-R$42*$H$13)/(1+$E$6)</f>
        <v>-17.202492450017218</v>
      </c>
      <c r="S43" t="s">
        <v>118</v>
      </c>
      <c r="U43" s="5" t="s">
        <v>134</v>
      </c>
      <c r="V43" s="6">
        <f>($AB$17-V$42*$H$13)/(1+$E$6)</f>
        <v>85.718402550085713</v>
      </c>
      <c r="W43" t="s">
        <v>125</v>
      </c>
      <c r="Y43" s="5" t="s">
        <v>134</v>
      </c>
      <c r="Z43" s="6">
        <f>($AB$24-Z$42*$H$13)/(1+$E$6)</f>
        <v>0</v>
      </c>
      <c r="AA43" t="s">
        <v>125</v>
      </c>
    </row>
    <row r="44" spans="4:36" x14ac:dyDescent="0.2">
      <c r="D44" s="13" t="s">
        <v>134</v>
      </c>
      <c r="E44" s="15">
        <f>($R$9-$E$42*$H$14)/(1+$E$6)</f>
        <v>-17.202492450017218</v>
      </c>
      <c r="F44" t="s">
        <v>120</v>
      </c>
      <c r="H44" s="13" t="s">
        <v>134</v>
      </c>
      <c r="I44" s="15">
        <f>($R$19-I$42*$H$14)/(1+$E$6)</f>
        <v>85.718402550085713</v>
      </c>
      <c r="J44" t="s">
        <v>126</v>
      </c>
      <c r="L44" s="13" t="s">
        <v>134</v>
      </c>
      <c r="M44" s="15">
        <f>($R$26-M$42*$H$14)/(1+$E$6)</f>
        <v>31.807457550031828</v>
      </c>
      <c r="N44" t="s">
        <v>126</v>
      </c>
      <c r="Q44" s="13" t="s">
        <v>134</v>
      </c>
      <c r="R44" s="15">
        <f>($AB$9-R$42*$H$14)/(1+$E$6)</f>
        <v>-17.202492450017218</v>
      </c>
      <c r="S44" t="s">
        <v>120</v>
      </c>
      <c r="U44" s="13" t="s">
        <v>134</v>
      </c>
      <c r="V44" s="15">
        <f>($AB$18-V$42*$H$14)/(1+$E$6)</f>
        <v>85.718402550085713</v>
      </c>
      <c r="W44" t="s">
        <v>126</v>
      </c>
      <c r="Y44" s="13" t="s">
        <v>134</v>
      </c>
      <c r="Z44" s="15">
        <f>($AB$25-Z$42*$H$14)/(1+$E$6)</f>
        <v>0</v>
      </c>
      <c r="AA44" t="s">
        <v>126</v>
      </c>
    </row>
    <row r="45" spans="4:36" x14ac:dyDescent="0.2">
      <c r="D45" s="5"/>
      <c r="E45" s="6"/>
      <c r="H45" s="5"/>
      <c r="I45" s="6"/>
      <c r="L45" s="5"/>
      <c r="M45" s="6"/>
      <c r="Q45" s="5"/>
      <c r="R45" s="6"/>
      <c r="U45" s="5"/>
      <c r="V45" s="6"/>
      <c r="Y45" s="5"/>
      <c r="Z45" s="6"/>
    </row>
    <row r="46" spans="4:36" x14ac:dyDescent="0.2">
      <c r="D46" s="40" t="s">
        <v>114</v>
      </c>
      <c r="E46" s="41">
        <f>$G$15</f>
        <v>81</v>
      </c>
      <c r="H46" s="40" t="s">
        <v>114</v>
      </c>
      <c r="I46" s="41">
        <f>$G$15</f>
        <v>81</v>
      </c>
      <c r="L46" s="40" t="s">
        <v>114</v>
      </c>
      <c r="M46" s="41">
        <f>$G$15</f>
        <v>81</v>
      </c>
      <c r="Q46" s="40" t="s">
        <v>114</v>
      </c>
      <c r="R46" s="41">
        <f>$G$15</f>
        <v>81</v>
      </c>
      <c r="U46" s="40" t="s">
        <v>114</v>
      </c>
      <c r="V46" s="41">
        <f>$G$15</f>
        <v>81</v>
      </c>
      <c r="Y46" s="40" t="s">
        <v>114</v>
      </c>
      <c r="Z46" s="41">
        <f>$G$15</f>
        <v>81</v>
      </c>
    </row>
    <row r="47" spans="4:36" x14ac:dyDescent="0.2">
      <c r="D47" s="5" t="s">
        <v>78</v>
      </c>
      <c r="E47" s="6">
        <f>($R$9-$R$10)/($H$14-$H$15)</f>
        <v>0</v>
      </c>
      <c r="H47" s="5" t="s">
        <v>78</v>
      </c>
      <c r="I47" s="6">
        <f>($R$19-$R$20)/($H$14-$H$15)</f>
        <v>-1</v>
      </c>
      <c r="L47" s="5" t="s">
        <v>78</v>
      </c>
      <c r="M47" s="6">
        <f>($R$26-$R$27)/($H$14-$H$15)</f>
        <v>-1</v>
      </c>
      <c r="Q47" s="5" t="s">
        <v>78</v>
      </c>
      <c r="R47" s="6">
        <f>($AB$9-$AB$10)/($H$14-$H$15)</f>
        <v>0</v>
      </c>
      <c r="U47" s="5" t="s">
        <v>78</v>
      </c>
      <c r="V47" s="6">
        <f>($AB$18-$AB$19)/($H$14-$H$15)</f>
        <v>-1</v>
      </c>
      <c r="Y47" s="5" t="s">
        <v>78</v>
      </c>
      <c r="Z47" s="6">
        <f>($AB$25-$AB$26)/($H$14-$H$15)</f>
        <v>0</v>
      </c>
    </row>
    <row r="48" spans="4:36" x14ac:dyDescent="0.2">
      <c r="D48" s="5" t="s">
        <v>134</v>
      </c>
      <c r="E48" s="6">
        <f>($R$9-$E$47*$H$14)/(1+$E$6)</f>
        <v>0</v>
      </c>
      <c r="F48" t="s">
        <v>121</v>
      </c>
      <c r="H48" s="5" t="s">
        <v>134</v>
      </c>
      <c r="I48" s="6">
        <f>($R$19-I$47*$H$14)/(1+$E$6)</f>
        <v>102.92089500010293</v>
      </c>
      <c r="J48" t="s">
        <v>127</v>
      </c>
      <c r="L48" s="5" t="s">
        <v>134</v>
      </c>
      <c r="M48" s="6">
        <f>($R$26-M$47*$H$14)/(1+$E$6)</f>
        <v>93.118905000093122</v>
      </c>
      <c r="N48" t="s">
        <v>127</v>
      </c>
      <c r="Q48" s="5" t="s">
        <v>134</v>
      </c>
      <c r="R48" s="6">
        <f>($AB$9-R$47*$H$14)/(1+$E$6)</f>
        <v>0</v>
      </c>
      <c r="S48" t="s">
        <v>121</v>
      </c>
      <c r="U48" s="5" t="s">
        <v>134</v>
      </c>
      <c r="V48" s="6">
        <f>($AB$18-V$47*$H$14)/(1+$E$6)</f>
        <v>102.92089500010293</v>
      </c>
      <c r="W48" t="s">
        <v>127</v>
      </c>
      <c r="Y48" s="5" t="s">
        <v>134</v>
      </c>
      <c r="Z48" s="6">
        <f>($AB$25-Z$47*$H$14)/(1+$E$6)</f>
        <v>0</v>
      </c>
      <c r="AA48" t="s">
        <v>127</v>
      </c>
    </row>
    <row r="49" spans="4:27" x14ac:dyDescent="0.2">
      <c r="D49" s="13" t="s">
        <v>134</v>
      </c>
      <c r="E49" s="15">
        <f>($R$10-$E$47*$H$15)/(1+$E$6)</f>
        <v>0</v>
      </c>
      <c r="F49" t="s">
        <v>122</v>
      </c>
      <c r="H49" s="13" t="s">
        <v>134</v>
      </c>
      <c r="I49" s="15">
        <f>($R$20-I$47*$H$15)/(1+$E$6)</f>
        <v>102.92089500010293</v>
      </c>
      <c r="J49" t="s">
        <v>128</v>
      </c>
      <c r="L49" s="13" t="s">
        <v>134</v>
      </c>
      <c r="M49" s="15">
        <f>($R$27-M$47*$H$15)/(1+$E$6)</f>
        <v>93.118905000093122</v>
      </c>
      <c r="N49" t="s">
        <v>128</v>
      </c>
      <c r="Q49" s="13" t="s">
        <v>134</v>
      </c>
      <c r="R49" s="15">
        <f>($AB$10-R$47*$H$15)/(1+$E$6)</f>
        <v>0</v>
      </c>
      <c r="S49" t="s">
        <v>122</v>
      </c>
      <c r="U49" s="13" t="s">
        <v>134</v>
      </c>
      <c r="V49" s="15">
        <f>($AB$19-V$47*$H$15)/(1+$E$6)</f>
        <v>102.92089500010293</v>
      </c>
      <c r="W49" t="s">
        <v>128</v>
      </c>
      <c r="Y49" s="13" t="s">
        <v>134</v>
      </c>
      <c r="Z49" s="15">
        <f>($AB$26-Z$47*$H$15)/(1+$E$6)</f>
        <v>0</v>
      </c>
      <c r="AA49" t="s">
        <v>128</v>
      </c>
    </row>
    <row r="50" spans="4:27" x14ac:dyDescent="0.2">
      <c r="D50" s="5"/>
      <c r="E50" s="6"/>
      <c r="H50" s="5"/>
      <c r="I50" s="6"/>
      <c r="L50" s="5"/>
      <c r="M50" s="6"/>
      <c r="Q50" s="5"/>
      <c r="R50" s="6"/>
      <c r="U50" s="5"/>
      <c r="V50" s="6"/>
      <c r="Y50" s="5"/>
      <c r="Z50" s="6"/>
    </row>
    <row r="51" spans="4:27" x14ac:dyDescent="0.2">
      <c r="D51" s="40" t="s">
        <v>115</v>
      </c>
      <c r="E51" s="41">
        <f>$F$14</f>
        <v>110</v>
      </c>
      <c r="H51" s="40" t="s">
        <v>115</v>
      </c>
      <c r="I51" s="41">
        <f>$F$14</f>
        <v>110</v>
      </c>
      <c r="L51" s="40" t="s">
        <v>115</v>
      </c>
      <c r="M51" s="41">
        <f>$F$14</f>
        <v>110</v>
      </c>
      <c r="Q51" s="40" t="s">
        <v>115</v>
      </c>
      <c r="R51" s="41">
        <f>$F$14</f>
        <v>110</v>
      </c>
      <c r="U51" s="40" t="s">
        <v>115</v>
      </c>
      <c r="V51" s="41">
        <f>$F$14</f>
        <v>110</v>
      </c>
      <c r="Y51" s="40" t="s">
        <v>115</v>
      </c>
      <c r="Z51" s="41">
        <f>$F$14</f>
        <v>110</v>
      </c>
    </row>
    <row r="52" spans="4:27" x14ac:dyDescent="0.2">
      <c r="D52" s="5" t="s">
        <v>78</v>
      </c>
      <c r="E52" s="6">
        <f>($Q$8-$Q$9)/($G$13-$G$14)</f>
        <v>0.71734533863246641</v>
      </c>
      <c r="H52" s="5" t="s">
        <v>78</v>
      </c>
      <c r="I52" s="6">
        <f>($Q$18-$Q$19)/($G$13-$G$14)</f>
        <v>-0.28265466136753331</v>
      </c>
      <c r="L52" s="5" t="s">
        <v>78</v>
      </c>
      <c r="M52" s="6">
        <f>($Q$25-$Q$26)/($G$13-$G$14)</f>
        <v>-0.10488443409235519</v>
      </c>
      <c r="Q52" s="5" t="s">
        <v>78</v>
      </c>
      <c r="R52" s="6">
        <f>($AA$8-$AA$9)/($G$13-$G$14)</f>
        <v>0.71734533863246641</v>
      </c>
      <c r="U52" s="5" t="s">
        <v>78</v>
      </c>
      <c r="V52" s="6">
        <f>($AA$17-$AA$18)/($G$13-$G$14)</f>
        <v>-0.28265466136753331</v>
      </c>
      <c r="Y52" s="5" t="s">
        <v>78</v>
      </c>
      <c r="Z52" s="6">
        <f>($AA$24-$AA$25)/($G$13-$G$14)</f>
        <v>0</v>
      </c>
    </row>
    <row r="53" spans="4:27" x14ac:dyDescent="0.2">
      <c r="D53" s="5" t="s">
        <v>134</v>
      </c>
      <c r="E53" s="6">
        <f>($Q$8-$E$52*$G$13)/(1+$E$6)</f>
        <v>-67.35896257172007</v>
      </c>
      <c r="F53" t="s">
        <v>80</v>
      </c>
      <c r="H53" s="5" t="s">
        <v>134</v>
      </c>
      <c r="I53" s="6">
        <f>($Q$18-I$52*$G$13)/(1+$E$6)</f>
        <v>33.523995786586696</v>
      </c>
      <c r="J53" t="s">
        <v>92</v>
      </c>
      <c r="L53" s="5" t="s">
        <v>134</v>
      </c>
      <c r="M53" s="6">
        <f>($Q$25-M$52*$G$13)/(1+$E$6)</f>
        <v>12.43972170697243</v>
      </c>
      <c r="N53" t="s">
        <v>92</v>
      </c>
      <c r="Q53" s="5" t="s">
        <v>134</v>
      </c>
      <c r="R53" s="6">
        <f>($AA$8-R$52*$G$13)/(1+$E$6)</f>
        <v>-67.35896257172007</v>
      </c>
      <c r="S53" t="s">
        <v>80</v>
      </c>
      <c r="U53" s="5" t="s">
        <v>134</v>
      </c>
      <c r="V53" s="6">
        <f>($AA$17-V$52*$G$13)/(1+$E$6)</f>
        <v>33.523995786586696</v>
      </c>
      <c r="W53" t="s">
        <v>92</v>
      </c>
      <c r="Y53" s="5" t="s">
        <v>134</v>
      </c>
      <c r="Z53" s="6">
        <f>($AA$24-Z$52*$G$13)/(1+$E$6)</f>
        <v>0</v>
      </c>
      <c r="AA53" t="s">
        <v>92</v>
      </c>
    </row>
    <row r="54" spans="4:27" x14ac:dyDescent="0.2">
      <c r="D54" s="13" t="s">
        <v>134</v>
      </c>
      <c r="E54" s="15">
        <f>($Q$9-$E$52*$G$14)/(1+$E$6)</f>
        <v>-67.358962571720056</v>
      </c>
      <c r="F54" t="s">
        <v>79</v>
      </c>
      <c r="H54" s="13" t="s">
        <v>134</v>
      </c>
      <c r="I54" s="15">
        <f>($Q$19-I$52*$G$14)/(1+$E$6)</f>
        <v>33.523995786586696</v>
      </c>
      <c r="J54" t="s">
        <v>93</v>
      </c>
      <c r="L54" s="13" t="s">
        <v>134</v>
      </c>
      <c r="M54" s="15">
        <f>($Q$26-M$52*$G$14)/(1+$E$6)</f>
        <v>12.439721706972428</v>
      </c>
      <c r="N54" t="s">
        <v>93</v>
      </c>
      <c r="Q54" s="13" t="s">
        <v>134</v>
      </c>
      <c r="R54" s="15">
        <f>($AA$9-R$52*$G$14)/(1+$E$6)</f>
        <v>-67.358962571720056</v>
      </c>
      <c r="S54" t="s">
        <v>79</v>
      </c>
      <c r="U54" s="13" t="s">
        <v>134</v>
      </c>
      <c r="V54" s="15">
        <f>($AA$18-V$52*$G$14)/(1+$E$6)</f>
        <v>33.523995786586696</v>
      </c>
      <c r="W54" t="s">
        <v>93</v>
      </c>
      <c r="Y54" s="13" t="s">
        <v>134</v>
      </c>
      <c r="Z54" s="15">
        <f>($AA$25-Z$52*$G$14)/(1+$E$6)</f>
        <v>0</v>
      </c>
      <c r="AA54" t="s">
        <v>93</v>
      </c>
    </row>
    <row r="55" spans="4:27" x14ac:dyDescent="0.2">
      <c r="D55" s="5"/>
      <c r="E55" s="6"/>
      <c r="H55" s="5"/>
      <c r="I55" s="6"/>
      <c r="L55" s="5"/>
      <c r="M55" s="6"/>
      <c r="Q55" s="5"/>
      <c r="R55" s="6"/>
      <c r="U55" s="5"/>
      <c r="V55" s="6"/>
      <c r="Y55" s="5"/>
      <c r="Z55" s="6"/>
    </row>
    <row r="56" spans="4:27" x14ac:dyDescent="0.2">
      <c r="D56" s="40" t="s">
        <v>116</v>
      </c>
      <c r="E56" s="41">
        <f>$F$15</f>
        <v>90</v>
      </c>
      <c r="H56" s="40" t="s">
        <v>116</v>
      </c>
      <c r="I56" s="41">
        <f>$F$15</f>
        <v>90</v>
      </c>
      <c r="L56" s="40" t="s">
        <v>116</v>
      </c>
      <c r="M56" s="41">
        <f>$F$15</f>
        <v>90</v>
      </c>
      <c r="Q56" s="40" t="s">
        <v>116</v>
      </c>
      <c r="R56" s="41">
        <f>$F$15</f>
        <v>90</v>
      </c>
      <c r="U56" s="40" t="s">
        <v>116</v>
      </c>
      <c r="V56" s="41">
        <f>$F$15</f>
        <v>90</v>
      </c>
      <c r="Y56" s="40" t="s">
        <v>116</v>
      </c>
      <c r="Z56" s="41">
        <f>$F$15</f>
        <v>90</v>
      </c>
    </row>
    <row r="57" spans="4:27" x14ac:dyDescent="0.2">
      <c r="D57" s="5" t="s">
        <v>78</v>
      </c>
      <c r="E57" s="6">
        <f>($Q$9-$Q$10)/($G$14-$G$15)</f>
        <v>0.12763930833237769</v>
      </c>
      <c r="H57" s="5" t="s">
        <v>78</v>
      </c>
      <c r="I57" s="6">
        <f>($Q$19-$Q$20)/($G$14-$G$15)</f>
        <v>-0.87236069166762231</v>
      </c>
      <c r="L57" s="5" t="s">
        <v>78</v>
      </c>
      <c r="M57" s="6">
        <f>($Q$26-$Q$27)/($G$14-$G$15)</f>
        <v>-0.54508041389229556</v>
      </c>
      <c r="Q57" s="5" t="s">
        <v>78</v>
      </c>
      <c r="R57" s="6">
        <f>($AA$9-$AA$10)/($G$14-$G$15)</f>
        <v>0.12763930833237769</v>
      </c>
      <c r="U57" s="5" t="s">
        <v>78</v>
      </c>
      <c r="V57" s="6">
        <f>($AA$18-$AA$19)/($G$14-$G$15)</f>
        <v>-0.98786652499523697</v>
      </c>
      <c r="Y57" s="5" t="s">
        <v>78</v>
      </c>
      <c r="Z57" s="6">
        <f>($AA$25-$AA$26)/($G$14-$G$15)</f>
        <v>0</v>
      </c>
    </row>
    <row r="58" spans="4:27" x14ac:dyDescent="0.2">
      <c r="D58" s="5" t="s">
        <v>134</v>
      </c>
      <c r="E58" s="6">
        <f>($Q$9-$E$57*$G$14)/(1+$E$6)</f>
        <v>-10.134065713445287</v>
      </c>
      <c r="F58" t="s">
        <v>83</v>
      </c>
      <c r="H58" s="5" t="s">
        <v>134</v>
      </c>
      <c r="I58" s="6">
        <f>($Q$19-I$57*$G$14)/(1+$E$6)</f>
        <v>90.748892644861499</v>
      </c>
      <c r="J58" t="s">
        <v>94</v>
      </c>
      <c r="L58" s="5" t="s">
        <v>134</v>
      </c>
      <c r="M58" s="6">
        <f>($Q$26-M$57*$G$14)/(1+$E$6)</f>
        <v>55.156207968203404</v>
      </c>
      <c r="N58" t="s">
        <v>94</v>
      </c>
      <c r="Q58" s="5" t="s">
        <v>134</v>
      </c>
      <c r="R58" s="6">
        <f>($AA$9-R$57*$G$14)/(1+$E$6)</f>
        <v>-10.134065713445287</v>
      </c>
      <c r="S58" t="s">
        <v>83</v>
      </c>
      <c r="U58" s="5" t="s">
        <v>134</v>
      </c>
      <c r="V58" s="6">
        <f>($AA$18-V$57*$G$14)/(1+$E$6)</f>
        <v>101.95754417474026</v>
      </c>
      <c r="W58" t="s">
        <v>94</v>
      </c>
      <c r="Y58" s="5" t="s">
        <v>134</v>
      </c>
      <c r="Z58" s="6">
        <f>($AA$25-Z$57*$G$14)/(1+$E$6)</f>
        <v>0</v>
      </c>
      <c r="AA58" t="s">
        <v>94</v>
      </c>
    </row>
    <row r="59" spans="4:27" x14ac:dyDescent="0.2">
      <c r="D59" s="13" t="s">
        <v>134</v>
      </c>
      <c r="E59" s="15">
        <f>($Q$10-$E$57*$G$15)/(1+$E$6)</f>
        <v>-10.134065713445285</v>
      </c>
      <c r="F59" t="s">
        <v>84</v>
      </c>
      <c r="H59" s="13" t="s">
        <v>134</v>
      </c>
      <c r="I59" s="15">
        <f>($Q$20-I$57*$G$15)/(1+$E$6)</f>
        <v>90.748892644861499</v>
      </c>
      <c r="J59" t="s">
        <v>95</v>
      </c>
      <c r="L59" s="13" t="s">
        <v>134</v>
      </c>
      <c r="M59" s="15">
        <f>($Q$27-M$57*$G$15)/(1+$E$6)</f>
        <v>55.156207968203404</v>
      </c>
      <c r="N59" t="s">
        <v>95</v>
      </c>
      <c r="Q59" s="13" t="s">
        <v>134</v>
      </c>
      <c r="R59" s="15">
        <f>($AA$10-R$57*$G$15)/(1+$E$6)</f>
        <v>-10.134065713445285</v>
      </c>
      <c r="S59" t="s">
        <v>84</v>
      </c>
      <c r="U59" s="13" t="s">
        <v>134</v>
      </c>
      <c r="V59" s="15">
        <f>($AA$19-V$57*$G$15)/(1+$E$6)</f>
        <v>101.95754417474028</v>
      </c>
      <c r="W59" t="s">
        <v>95</v>
      </c>
      <c r="Y59" s="13" t="s">
        <v>134</v>
      </c>
      <c r="Z59" s="15">
        <f>($AA$26-Z$57*$G$15)/(1+$E$6)</f>
        <v>0</v>
      </c>
      <c r="AA59" t="s">
        <v>95</v>
      </c>
    </row>
    <row r="60" spans="4:27" x14ac:dyDescent="0.2">
      <c r="D60" s="5"/>
      <c r="E60" s="6"/>
      <c r="H60" s="5"/>
      <c r="I60" s="6"/>
      <c r="L60" s="5"/>
      <c r="M60" s="6"/>
      <c r="Q60" s="5"/>
      <c r="R60" s="6"/>
      <c r="U60" s="5"/>
      <c r="V60" s="6"/>
      <c r="Y60" s="5"/>
      <c r="Z60" s="6"/>
    </row>
    <row r="61" spans="4:27" x14ac:dyDescent="0.2">
      <c r="D61" s="40" t="s">
        <v>85</v>
      </c>
      <c r="E61" s="41">
        <f>$E$15</f>
        <v>100</v>
      </c>
      <c r="H61" s="40" t="s">
        <v>85</v>
      </c>
      <c r="I61" s="41">
        <f>$E$15</f>
        <v>100</v>
      </c>
      <c r="L61" s="40" t="s">
        <v>85</v>
      </c>
      <c r="M61" s="41">
        <f>$E$15</f>
        <v>100</v>
      </c>
      <c r="Q61" s="40" t="s">
        <v>85</v>
      </c>
      <c r="R61" s="41">
        <f>$E$15</f>
        <v>100</v>
      </c>
      <c r="U61" s="40" t="s">
        <v>85</v>
      </c>
      <c r="V61" s="41">
        <f>$E$15</f>
        <v>100</v>
      </c>
      <c r="Y61" s="40" t="s">
        <v>85</v>
      </c>
      <c r="Z61" s="41">
        <f>$E$15</f>
        <v>100</v>
      </c>
    </row>
    <row r="62" spans="4:27" x14ac:dyDescent="0.2">
      <c r="D62" s="5" t="s">
        <v>78</v>
      </c>
      <c r="E62" s="6">
        <f>($P$9-$P$10)/($F$14-$F$15)</f>
        <v>0.50977763206912641</v>
      </c>
      <c r="H62" s="5" t="s">
        <v>78</v>
      </c>
      <c r="I62" s="6">
        <f>($P$19-$P$20)/($F$14-$F$15)</f>
        <v>-0.49022236793087332</v>
      </c>
      <c r="L62" s="5" t="s">
        <v>78</v>
      </c>
      <c r="M62" s="6">
        <f>($P$26-$P$27)/($F$14-$F$15)</f>
        <v>-0.25982683805417234</v>
      </c>
      <c r="Q62" s="5" t="s">
        <v>78</v>
      </c>
      <c r="R62" s="6">
        <f>($Z$9-$Z$10)/($F$14-$F$15)</f>
        <v>0.50977763206912641</v>
      </c>
      <c r="U62" s="5" t="s">
        <v>78</v>
      </c>
      <c r="V62" s="6">
        <f>($Z$18-$Z$19)/($F$14-$F$15)</f>
        <v>-0.62840084819209829</v>
      </c>
      <c r="Y62" s="5" t="s">
        <v>78</v>
      </c>
      <c r="Z62" s="6">
        <f>($Z$25-$Z$26)/($F$14-$F$15)</f>
        <v>0</v>
      </c>
    </row>
    <row r="63" spans="4:27" x14ac:dyDescent="0.2">
      <c r="D63" s="5" t="s">
        <v>134</v>
      </c>
      <c r="E63" s="6">
        <f>($P$9-$E$62*$F$14)/(1+$E$6)</f>
        <v>-43.64484532925637</v>
      </c>
      <c r="F63" t="s">
        <v>86</v>
      </c>
      <c r="H63" s="5" t="s">
        <v>134</v>
      </c>
      <c r="I63" s="6">
        <f>($P$19-I$62*$F$14)/(1+$E$6)</f>
        <v>55.240529570696459</v>
      </c>
      <c r="J63" t="s">
        <v>96</v>
      </c>
      <c r="L63" s="5" t="s">
        <v>134</v>
      </c>
      <c r="M63" s="6">
        <f>($P$26-M$62*$F$14)/(1+$E$6)</f>
        <v>28.899585613788183</v>
      </c>
      <c r="N63" t="s">
        <v>96</v>
      </c>
      <c r="Q63" s="5" t="s">
        <v>134</v>
      </c>
      <c r="R63" s="6">
        <f>($Z$9-R$62*$F$14)/(1+$E$6)</f>
        <v>-43.64484532925637</v>
      </c>
      <c r="S63" t="s">
        <v>86</v>
      </c>
      <c r="U63" s="5" t="s">
        <v>134</v>
      </c>
      <c r="V63" s="6">
        <f>($Z$18-V$62*$F$14)/(1+$E$6)</f>
        <v>70.139194469804337</v>
      </c>
      <c r="W63" t="s">
        <v>96</v>
      </c>
      <c r="Y63" s="5" t="s">
        <v>134</v>
      </c>
      <c r="Z63" s="6">
        <f>($Z$25-Z$62*$F$14)/(1+$E$6)</f>
        <v>0</v>
      </c>
      <c r="AA63" t="s">
        <v>96</v>
      </c>
    </row>
    <row r="64" spans="4:27" x14ac:dyDescent="0.2">
      <c r="D64" s="13" t="s">
        <v>134</v>
      </c>
      <c r="E64" s="15">
        <f>($P$10-$E$62*$F$15)/(1+$E$6)</f>
        <v>-43.644845329256363</v>
      </c>
      <c r="F64" t="s">
        <v>87</v>
      </c>
      <c r="H64" s="13" t="s">
        <v>134</v>
      </c>
      <c r="I64" s="15">
        <f>($P$20-I$62*$F$15)/(1+$E$6)</f>
        <v>55.240529570696459</v>
      </c>
      <c r="J64" t="s">
        <v>97</v>
      </c>
      <c r="L64" s="13" t="s">
        <v>134</v>
      </c>
      <c r="M64" s="15">
        <f>($P$27-M$62*$F$15)/(1+$E$6)</f>
        <v>28.899585613788183</v>
      </c>
      <c r="N64" t="s">
        <v>97</v>
      </c>
      <c r="Q64" s="13" t="s">
        <v>134</v>
      </c>
      <c r="R64" s="15">
        <f>($Z$10-R$62*$F$15)/(1+$E$6)</f>
        <v>-43.644845329256363</v>
      </c>
      <c r="S64" t="s">
        <v>87</v>
      </c>
      <c r="U64" s="13" t="s">
        <v>134</v>
      </c>
      <c r="V64" s="15">
        <f>($Z$19-V$62*$F$15)/(1+$E$6)</f>
        <v>70.139194469804337</v>
      </c>
      <c r="W64" t="s">
        <v>97</v>
      </c>
      <c r="Y64" s="13" t="s">
        <v>134</v>
      </c>
      <c r="Z64" s="15">
        <f>($Z$26-Z$62*$F$15)/(1+$E$6)</f>
        <v>0</v>
      </c>
      <c r="AA64" t="s">
        <v>97</v>
      </c>
    </row>
    <row r="66" spans="4:38" x14ac:dyDescent="0.2">
      <c r="J66" t="s">
        <v>224</v>
      </c>
    </row>
    <row r="67" spans="4:38" x14ac:dyDescent="0.2">
      <c r="J67" t="s">
        <v>159</v>
      </c>
      <c r="N67" s="2"/>
      <c r="O67" s="72" t="s">
        <v>346</v>
      </c>
      <c r="P67" s="3"/>
      <c r="Q67" s="3"/>
      <c r="R67" s="3"/>
      <c r="S67" s="3"/>
      <c r="T67" s="3"/>
      <c r="U67" s="72" t="s">
        <v>346</v>
      </c>
      <c r="V67" s="3"/>
      <c r="W67" s="3"/>
      <c r="X67" s="72" t="s">
        <v>346</v>
      </c>
      <c r="Y67" s="3"/>
      <c r="Z67" s="3"/>
      <c r="AA67" s="3"/>
      <c r="AB67" s="3"/>
      <c r="AC67" s="3"/>
      <c r="AD67" s="72" t="s">
        <v>346</v>
      </c>
      <c r="AE67" s="3"/>
      <c r="AF67" s="3"/>
      <c r="AG67" s="72" t="s">
        <v>346</v>
      </c>
      <c r="AH67" s="3"/>
      <c r="AI67" s="3"/>
      <c r="AJ67" s="3"/>
      <c r="AK67" s="3"/>
      <c r="AL67" s="4"/>
    </row>
    <row r="68" spans="4:38" x14ac:dyDescent="0.2">
      <c r="D68" s="2" t="s">
        <v>131</v>
      </c>
      <c r="E68" s="3" t="s">
        <v>132</v>
      </c>
      <c r="F68" s="3"/>
      <c r="G68" s="4"/>
      <c r="J68" s="28" t="s">
        <v>160</v>
      </c>
      <c r="K68" s="30"/>
      <c r="N68" s="5"/>
      <c r="O68" s="31" t="s">
        <v>348</v>
      </c>
      <c r="P68" s="32"/>
      <c r="Q68" s="32"/>
      <c r="R68" s="32"/>
      <c r="S68" s="33"/>
      <c r="U68" s="31" t="s">
        <v>49</v>
      </c>
      <c r="V68" s="33"/>
      <c r="X68" s="31" t="s">
        <v>62</v>
      </c>
      <c r="Y68" s="32"/>
      <c r="Z68" s="32"/>
      <c r="AA68" s="32"/>
      <c r="AB68" s="33"/>
      <c r="AD68" s="31" t="s">
        <v>137</v>
      </c>
      <c r="AE68" s="33"/>
      <c r="AG68" s="31" t="s">
        <v>104</v>
      </c>
      <c r="AH68" s="32"/>
      <c r="AI68" s="32"/>
      <c r="AJ68" s="32"/>
      <c r="AK68" s="33"/>
      <c r="AL68" s="6"/>
    </row>
    <row r="69" spans="4:38" x14ac:dyDescent="0.2">
      <c r="D69" s="5" t="s">
        <v>3</v>
      </c>
      <c r="E69" s="22">
        <v>0</v>
      </c>
      <c r="F69" s="22">
        <v>1</v>
      </c>
      <c r="G69" s="23">
        <v>2</v>
      </c>
      <c r="J69" s="5" t="s">
        <v>153</v>
      </c>
      <c r="K69" s="6">
        <f>L6</f>
        <v>105</v>
      </c>
      <c r="N69" s="5"/>
      <c r="O69" s="2" t="s">
        <v>3</v>
      </c>
      <c r="P69" s="45">
        <v>0</v>
      </c>
      <c r="Q69" s="45">
        <v>1</v>
      </c>
      <c r="R69" s="45">
        <v>2</v>
      </c>
      <c r="S69" s="41">
        <v>3</v>
      </c>
      <c r="U69" s="5" t="s">
        <v>55</v>
      </c>
      <c r="V69" s="6">
        <f>L6</f>
        <v>105</v>
      </c>
      <c r="X69" s="5" t="s">
        <v>3</v>
      </c>
      <c r="Y69" s="22">
        <v>0</v>
      </c>
      <c r="Z69" s="22">
        <v>1</v>
      </c>
      <c r="AA69" s="22">
        <v>2</v>
      </c>
      <c r="AB69" s="23">
        <v>3</v>
      </c>
      <c r="AD69" s="5" t="s">
        <v>55</v>
      </c>
      <c r="AE69" s="6">
        <f>V6</f>
        <v>105</v>
      </c>
      <c r="AG69" s="5" t="s">
        <v>3</v>
      </c>
      <c r="AH69" s="22">
        <v>0</v>
      </c>
      <c r="AI69" s="22">
        <v>1</v>
      </c>
      <c r="AJ69" s="22">
        <v>2</v>
      </c>
      <c r="AK69" s="23">
        <v>3</v>
      </c>
      <c r="AL69" s="6"/>
    </row>
    <row r="70" spans="4:38" x14ac:dyDescent="0.2">
      <c r="D70" s="5"/>
      <c r="G70" s="43">
        <f>IF(AND(I21&lt;(1+$E$6),(1+$E$6)&lt;I20),0,1)</f>
        <v>0</v>
      </c>
      <c r="J70" s="13" t="s">
        <v>154</v>
      </c>
      <c r="K70" s="15">
        <f>L8-L18</f>
        <v>1.1146251000471343</v>
      </c>
      <c r="N70" s="5"/>
      <c r="O70" s="5"/>
      <c r="S70" s="73">
        <v>180</v>
      </c>
      <c r="T70" t="s">
        <v>352</v>
      </c>
      <c r="U70" s="5" t="s">
        <v>56</v>
      </c>
      <c r="V70" s="6">
        <v>2</v>
      </c>
      <c r="X70" s="5"/>
      <c r="AB70" s="6">
        <f>MAX(S70-$V$69,0)</f>
        <v>75</v>
      </c>
      <c r="AC70" t="s">
        <v>352</v>
      </c>
      <c r="AD70" s="5" t="s">
        <v>56</v>
      </c>
      <c r="AE70" s="6">
        <v>2</v>
      </c>
      <c r="AG70" s="5"/>
      <c r="AK70" s="6">
        <f>MAX(S70-$AE$69,0)</f>
        <v>75</v>
      </c>
      <c r="AL70" s="6" t="s">
        <v>352</v>
      </c>
    </row>
    <row r="71" spans="4:38" x14ac:dyDescent="0.2">
      <c r="D71" s="5"/>
      <c r="F71" s="46">
        <f>IF(AND(G22&lt;(1+$E$6),(1+$E$6)&lt;G21),0,1)</f>
        <v>0</v>
      </c>
      <c r="G71" s="43">
        <f>IF(AND(I23&lt;(1+$E$6),(1+$E$6)&lt;I22),0,1)</f>
        <v>0</v>
      </c>
      <c r="N71" s="5"/>
      <c r="O71" s="5"/>
      <c r="R71" s="7">
        <v>169</v>
      </c>
      <c r="S71" s="75">
        <v>150</v>
      </c>
      <c r="T71" t="s">
        <v>353</v>
      </c>
      <c r="U71" s="13" t="s">
        <v>68</v>
      </c>
      <c r="V71" s="15">
        <f>Y74</f>
        <v>33.65654446490614</v>
      </c>
      <c r="X71" s="5"/>
      <c r="AA71">
        <f>($E$9*AB70+$E$10*AB71)/(1+$E$6)</f>
        <v>61.782089999911769</v>
      </c>
      <c r="AB71" s="6">
        <f t="shared" ref="AB71:AB77" si="15">MAX(S71-$V$69,0)</f>
        <v>45</v>
      </c>
      <c r="AC71" t="s">
        <v>353</v>
      </c>
      <c r="AD71" s="13" t="s">
        <v>68</v>
      </c>
      <c r="AE71" s="15">
        <f>AH74</f>
        <v>34.426257071194279</v>
      </c>
      <c r="AG71" s="5"/>
      <c r="AJ71">
        <f>MAX((($E$9*AK70+$E$10*AK71)/(1+$E$6)),0,(R71-$AE$69))</f>
        <v>64</v>
      </c>
      <c r="AK71" s="6">
        <f t="shared" ref="AK71:AK77" si="16">MAX(S71-$AE$69,0)</f>
        <v>45</v>
      </c>
      <c r="AL71" s="6" t="s">
        <v>353</v>
      </c>
    </row>
    <row r="72" spans="4:38" x14ac:dyDescent="0.2">
      <c r="D72" s="13"/>
      <c r="E72" s="47">
        <f>IF(AND(E23&lt;(1+$E$6),(1+$E$6)&lt;E22),0,1)</f>
        <v>0</v>
      </c>
      <c r="F72" s="47">
        <f>IF(AND(G24&lt;(1+$E$6),(1+$E$6)&lt;G23),0,1)</f>
        <v>0</v>
      </c>
      <c r="G72" s="44">
        <f>IF(AND(I25&lt;(1+$E$6),(1+$E$6)&lt;I24),0,1)</f>
        <v>0</v>
      </c>
      <c r="J72" s="28" t="s">
        <v>161</v>
      </c>
      <c r="K72" s="30"/>
      <c r="N72" s="5"/>
      <c r="O72" s="5"/>
      <c r="Q72" s="7">
        <v>130</v>
      </c>
      <c r="S72" s="75">
        <v>150</v>
      </c>
      <c r="T72" t="s">
        <v>352</v>
      </c>
      <c r="X72" s="5"/>
      <c r="Z72">
        <f>($E$9*AA71+$E$10*AA73)/(1+$E$6)</f>
        <v>46.76390608253201</v>
      </c>
      <c r="AB72" s="6">
        <f t="shared" si="15"/>
        <v>45</v>
      </c>
      <c r="AC72" t="s">
        <v>352</v>
      </c>
      <c r="AG72" s="5"/>
      <c r="AI72">
        <f>MAX((($E$9*AJ71+$E$10*AJ73)/(1+$E$6)),0,(Q72-$AE$69))</f>
        <v>48.070486844169203</v>
      </c>
      <c r="AK72" s="6">
        <f t="shared" si="16"/>
        <v>45</v>
      </c>
      <c r="AL72" s="6" t="s">
        <v>352</v>
      </c>
    </row>
    <row r="73" spans="4:38" x14ac:dyDescent="0.2">
      <c r="D73" t="s">
        <v>133</v>
      </c>
      <c r="J73" s="5" t="s">
        <v>153</v>
      </c>
      <c r="K73" s="6">
        <f>L6</f>
        <v>105</v>
      </c>
      <c r="N73" s="5"/>
      <c r="O73" s="5"/>
      <c r="R73" s="74">
        <v>100</v>
      </c>
      <c r="S73" s="76">
        <v>90</v>
      </c>
      <c r="T73" t="s">
        <v>353</v>
      </c>
      <c r="X73" s="5"/>
      <c r="AA73">
        <f>($E$9*AB72+$E$10*AB73)/(1+$E$6)</f>
        <v>26.509702499801477</v>
      </c>
      <c r="AB73" s="6">
        <f t="shared" si="15"/>
        <v>0</v>
      </c>
      <c r="AC73" t="s">
        <v>353</v>
      </c>
      <c r="AG73" s="5"/>
      <c r="AJ73">
        <f>MAX((($E$9*AK72+$E$10*AK73)/(1+$E$6)),0,(R73-$AE$69))</f>
        <v>26.509702499801477</v>
      </c>
      <c r="AK73" s="6">
        <f t="shared" si="16"/>
        <v>0</v>
      </c>
      <c r="AL73" s="6" t="s">
        <v>353</v>
      </c>
    </row>
    <row r="74" spans="4:38" x14ac:dyDescent="0.2">
      <c r="J74" s="13" t="s">
        <v>154</v>
      </c>
      <c r="K74" s="15">
        <f>L18-L8</f>
        <v>-1.1146251000471343</v>
      </c>
      <c r="N74" s="5"/>
      <c r="O74" s="5"/>
      <c r="P74" s="7">
        <v>100</v>
      </c>
      <c r="R74" t="s">
        <v>351</v>
      </c>
      <c r="S74" s="75">
        <v>150</v>
      </c>
      <c r="T74" t="s">
        <v>352</v>
      </c>
      <c r="X74" s="5"/>
      <c r="Y74">
        <f>($E$9*Z72+$E$10*Z76)/(1+$E$6)</f>
        <v>33.65654446490614</v>
      </c>
      <c r="AB74" s="6">
        <f t="shared" si="15"/>
        <v>45</v>
      </c>
      <c r="AC74" t="s">
        <v>352</v>
      </c>
      <c r="AG74" s="5"/>
      <c r="AH74">
        <f>MAX((($E$9*AI72+$E$10*AI76)/(1+$E$6)),0,(P74-$AE$69))</f>
        <v>34.426257071194279</v>
      </c>
      <c r="AK74" s="6">
        <f t="shared" si="16"/>
        <v>45</v>
      </c>
      <c r="AL74" s="6" t="s">
        <v>352</v>
      </c>
    </row>
    <row r="75" spans="4:38" x14ac:dyDescent="0.2">
      <c r="N75" s="5"/>
      <c r="O75" s="5"/>
      <c r="R75" s="74">
        <v>100</v>
      </c>
      <c r="S75" s="76">
        <v>90</v>
      </c>
      <c r="T75" t="s">
        <v>353</v>
      </c>
      <c r="X75" s="5"/>
      <c r="AA75">
        <f>($E$9*AB74+$E$10*AB75)/(1+$E$6)</f>
        <v>26.509702499801477</v>
      </c>
      <c r="AB75" s="6">
        <f t="shared" si="15"/>
        <v>0</v>
      </c>
      <c r="AC75" t="s">
        <v>353</v>
      </c>
      <c r="AG75" s="5"/>
      <c r="AJ75">
        <f>MAX((($E$9*AK74+$E$10*AK75)/(1+$E$6)),0,(R75-$AE$69))</f>
        <v>26.509702499801477</v>
      </c>
      <c r="AK75" s="6">
        <f t="shared" si="16"/>
        <v>0</v>
      </c>
      <c r="AL75" s="6" t="s">
        <v>353</v>
      </c>
    </row>
    <row r="76" spans="4:38" x14ac:dyDescent="0.2">
      <c r="J76" s="28" t="s">
        <v>162</v>
      </c>
      <c r="K76" s="30"/>
      <c r="N76" s="5"/>
      <c r="O76" s="5"/>
      <c r="Q76" s="7">
        <v>76.92</v>
      </c>
      <c r="S76" s="76">
        <v>90</v>
      </c>
      <c r="T76" t="s">
        <v>352</v>
      </c>
      <c r="X76" s="5"/>
      <c r="Z76">
        <f>($E$9*AA75+$E$10*AA77)/(1+$E$6)</f>
        <v>15.616985036177349</v>
      </c>
      <c r="AB76" s="6">
        <f t="shared" si="15"/>
        <v>0</v>
      </c>
      <c r="AC76" t="s">
        <v>352</v>
      </c>
      <c r="AG76" s="5"/>
      <c r="AI76">
        <f>MAX((($E$9*AJ75+$E$10*AJ77)/(1+$E$6)),0,(Q76-$AE$69))</f>
        <v>15.616985036177349</v>
      </c>
      <c r="AK76" s="6">
        <f t="shared" si="16"/>
        <v>0</v>
      </c>
      <c r="AL76" s="6" t="s">
        <v>352</v>
      </c>
    </row>
    <row r="77" spans="4:38" x14ac:dyDescent="0.2">
      <c r="J77" s="5" t="s">
        <v>155</v>
      </c>
      <c r="K77" s="6">
        <f>L6</f>
        <v>105</v>
      </c>
      <c r="L77" t="s">
        <v>157</v>
      </c>
      <c r="N77" s="5"/>
      <c r="O77" s="13"/>
      <c r="P77" s="14"/>
      <c r="Q77" s="14"/>
      <c r="R77" s="39">
        <v>59.17</v>
      </c>
      <c r="S77" s="36">
        <v>40</v>
      </c>
      <c r="T77" t="s">
        <v>353</v>
      </c>
      <c r="U77" s="71" t="s">
        <v>346</v>
      </c>
      <c r="X77" s="13"/>
      <c r="Y77" s="14"/>
      <c r="Z77" s="14"/>
      <c r="AA77" s="14">
        <f>($E$9*AB76+$E$10*AB77)/(1+$E$6)</f>
        <v>0</v>
      </c>
      <c r="AB77" s="15">
        <f t="shared" si="15"/>
        <v>0</v>
      </c>
      <c r="AC77" t="s">
        <v>353</v>
      </c>
      <c r="AD77" s="71" t="s">
        <v>346</v>
      </c>
      <c r="AG77" s="13"/>
      <c r="AH77" s="14"/>
      <c r="AI77" s="14"/>
      <c r="AJ77" s="14">
        <f>MAX((($E$9*AK76+$E$10*AK77)/(1+$E$6)),0,(R77-$AE$69))</f>
        <v>0</v>
      </c>
      <c r="AK77" s="15">
        <f t="shared" si="16"/>
        <v>0</v>
      </c>
      <c r="AL77" s="6" t="s">
        <v>353</v>
      </c>
    </row>
    <row r="78" spans="4:38" x14ac:dyDescent="0.2">
      <c r="J78" s="5" t="s">
        <v>156</v>
      </c>
      <c r="K78" s="6">
        <f>L23</f>
        <v>95</v>
      </c>
      <c r="L78" t="s">
        <v>158</v>
      </c>
      <c r="N78" s="5"/>
      <c r="O78" t="s">
        <v>354</v>
      </c>
      <c r="U78" s="31" t="s">
        <v>61</v>
      </c>
      <c r="V78" s="33"/>
      <c r="X78" s="71" t="s">
        <v>346</v>
      </c>
      <c r="AD78" s="31" t="s">
        <v>102</v>
      </c>
      <c r="AE78" s="33"/>
      <c r="AG78" s="71" t="s">
        <v>346</v>
      </c>
      <c r="AL78" s="6"/>
    </row>
    <row r="79" spans="4:38" x14ac:dyDescent="0.2">
      <c r="J79" s="13" t="s">
        <v>154</v>
      </c>
      <c r="K79" s="15">
        <f>L8-L25</f>
        <v>4.4160160692853188</v>
      </c>
      <c r="N79" s="5"/>
      <c r="O79" t="s">
        <v>355</v>
      </c>
      <c r="U79" s="5" t="s">
        <v>153</v>
      </c>
      <c r="V79" s="6">
        <f>V69</f>
        <v>105</v>
      </c>
      <c r="X79" s="28" t="s">
        <v>67</v>
      </c>
      <c r="Y79" s="29"/>
      <c r="Z79" s="29"/>
      <c r="AA79" s="29"/>
      <c r="AB79" s="30"/>
      <c r="AD79" s="5" t="s">
        <v>153</v>
      </c>
      <c r="AE79" s="6">
        <f>AE69</f>
        <v>105</v>
      </c>
      <c r="AG79" s="31" t="s">
        <v>105</v>
      </c>
      <c r="AH79" s="32"/>
      <c r="AI79" s="32"/>
      <c r="AJ79" s="32"/>
      <c r="AK79" s="33"/>
      <c r="AL79" s="6"/>
    </row>
    <row r="80" spans="4:38" x14ac:dyDescent="0.2">
      <c r="N80" s="5"/>
      <c r="U80" s="5" t="s">
        <v>69</v>
      </c>
      <c r="V80" s="6">
        <f>V70</f>
        <v>2</v>
      </c>
      <c r="X80" s="5" t="s">
        <v>3</v>
      </c>
      <c r="Y80" s="22">
        <v>0</v>
      </c>
      <c r="Z80" s="22">
        <v>1</v>
      </c>
      <c r="AA80" s="22">
        <v>2</v>
      </c>
      <c r="AB80" s="23">
        <v>3</v>
      </c>
      <c r="AD80" s="5" t="s">
        <v>69</v>
      </c>
      <c r="AE80" s="6">
        <f>AE70</f>
        <v>2</v>
      </c>
      <c r="AG80" s="5" t="s">
        <v>3</v>
      </c>
      <c r="AH80" s="22">
        <v>0</v>
      </c>
      <c r="AI80" s="22">
        <v>1</v>
      </c>
      <c r="AJ80" s="22">
        <v>2</v>
      </c>
      <c r="AK80" s="23">
        <v>3</v>
      </c>
      <c r="AL80" s="6"/>
    </row>
    <row r="81" spans="10:38" x14ac:dyDescent="0.2">
      <c r="J81" s="28" t="s">
        <v>163</v>
      </c>
      <c r="K81" s="30"/>
      <c r="N81" s="5"/>
      <c r="U81" s="13" t="s">
        <v>91</v>
      </c>
      <c r="V81" s="15">
        <f>Y85</f>
        <v>7.9430776159573417</v>
      </c>
      <c r="X81" s="5"/>
      <c r="AB81" s="6">
        <f>MAX($V$69-S70,0)</f>
        <v>0</v>
      </c>
      <c r="AC81" t="s">
        <v>352</v>
      </c>
      <c r="AD81" s="13" t="s">
        <v>91</v>
      </c>
      <c r="AE81" s="15">
        <f>AH85</f>
        <v>12.333529928560488</v>
      </c>
      <c r="AG81" s="5"/>
      <c r="AK81" s="6">
        <f>MAX($AE$69-S70,0)</f>
        <v>0</v>
      </c>
      <c r="AL81" s="6" t="s">
        <v>352</v>
      </c>
    </row>
    <row r="82" spans="10:38" x14ac:dyDescent="0.2">
      <c r="J82" s="5" t="s">
        <v>155</v>
      </c>
      <c r="K82" s="6">
        <f>L23</f>
        <v>95</v>
      </c>
      <c r="L82" t="s">
        <v>158</v>
      </c>
      <c r="N82" s="5"/>
      <c r="X82" s="5"/>
      <c r="AA82">
        <f>($E$9*AB81+$E$10*AB82)/(1+$E$6)</f>
        <v>0</v>
      </c>
      <c r="AB82" s="6">
        <f t="shared" ref="AB82:AB88" si="17">MAX($V$69-S71,0)</f>
        <v>0</v>
      </c>
      <c r="AC82" t="s">
        <v>353</v>
      </c>
      <c r="AG82" s="5"/>
      <c r="AJ82">
        <f>MAX((($E$9*AK81+$E$10*AK82)/(1+$E$6)),0,($AE$69-R71))</f>
        <v>0</v>
      </c>
      <c r="AK82" s="6">
        <f t="shared" ref="AK82:AK88" si="18">MAX($AE$69-S71,0)</f>
        <v>0</v>
      </c>
      <c r="AL82" s="6" t="s">
        <v>353</v>
      </c>
    </row>
    <row r="83" spans="10:38" x14ac:dyDescent="0.2">
      <c r="J83" s="5" t="s">
        <v>156</v>
      </c>
      <c r="K83" s="6">
        <f>L6</f>
        <v>105</v>
      </c>
      <c r="L83" t="s">
        <v>157</v>
      </c>
      <c r="N83" s="5"/>
      <c r="X83" s="5"/>
      <c r="Z83">
        <f>($E$9*AA82+$E$10*AA84)/(1+$E$6)</f>
        <v>2.2943236190170122</v>
      </c>
      <c r="AB83" s="6">
        <f t="shared" si="17"/>
        <v>0</v>
      </c>
      <c r="AC83" t="s">
        <v>352</v>
      </c>
      <c r="AG83" s="5"/>
      <c r="AI83">
        <f>MAX((($E$9*AJ82+$E$10*AJ84)/(1+$E$6)),0,($AE$69-Q72))</f>
        <v>2.2943236190170122</v>
      </c>
      <c r="AK83" s="6">
        <f>MAX($AE$69-S72,0)</f>
        <v>0</v>
      </c>
      <c r="AL83" s="6" t="s">
        <v>352</v>
      </c>
    </row>
    <row r="84" spans="10:38" x14ac:dyDescent="0.2">
      <c r="J84" s="13" t="s">
        <v>154</v>
      </c>
      <c r="K84" s="15">
        <f>L25-L8</f>
        <v>-4.4160160692853188</v>
      </c>
      <c r="N84" s="5"/>
      <c r="X84" s="5"/>
      <c r="AA84">
        <f>($E$9*AB83+$E$10*AB84)/(1+$E$6)</f>
        <v>5.8664175000808783</v>
      </c>
      <c r="AB84" s="6">
        <f t="shared" si="17"/>
        <v>15</v>
      </c>
      <c r="AC84" t="s">
        <v>353</v>
      </c>
      <c r="AG84" s="5"/>
      <c r="AJ84">
        <f>MAX((($E$9*AK83+$E$10*AK84)/(1+$E$6)),0,($AE$69-R73))</f>
        <v>5.8664175000808783</v>
      </c>
      <c r="AK84" s="6">
        <f t="shared" si="18"/>
        <v>15</v>
      </c>
      <c r="AL84" s="6" t="s">
        <v>353</v>
      </c>
    </row>
    <row r="85" spans="10:38" x14ac:dyDescent="0.2">
      <c r="J85" s="46" t="s">
        <v>164</v>
      </c>
      <c r="N85" s="5"/>
      <c r="X85" s="5"/>
      <c r="Y85">
        <f>($E$9*Z83+$E$10*Z87)/(1+$E$6)</f>
        <v>7.9430776159573417</v>
      </c>
      <c r="AB85" s="6">
        <f t="shared" si="17"/>
        <v>0</v>
      </c>
      <c r="AC85" t="s">
        <v>352</v>
      </c>
      <c r="AG85" s="5"/>
      <c r="AH85">
        <f>MAX((($E$9*AI83+$E$10*AI87)/(1+$E$6)),0,($AE$69-P74))</f>
        <v>12.333529928560488</v>
      </c>
      <c r="AK85" s="6">
        <f>MAX($AE$69-S74,0)</f>
        <v>0</v>
      </c>
      <c r="AL85" s="6" t="s">
        <v>352</v>
      </c>
    </row>
    <row r="86" spans="10:38" x14ac:dyDescent="0.2">
      <c r="N86" s="5"/>
      <c r="X86" s="5"/>
      <c r="AA86">
        <f>($E$9*AB85+$E$10*AB86)/(1+$E$6)</f>
        <v>5.8664175000808783</v>
      </c>
      <c r="AB86" s="6">
        <f t="shared" si="17"/>
        <v>15</v>
      </c>
      <c r="AC86" t="s">
        <v>353</v>
      </c>
      <c r="AG86" s="5"/>
      <c r="AJ86">
        <f>MAX((($E$9*AK85+$E$10*AK86)/(1+$E$6)),0,($AE$69-R75))</f>
        <v>5.8664175000808783</v>
      </c>
      <c r="AK86" s="6">
        <f t="shared" si="18"/>
        <v>15</v>
      </c>
      <c r="AL86" s="6" t="s">
        <v>353</v>
      </c>
    </row>
    <row r="87" spans="10:38" x14ac:dyDescent="0.2">
      <c r="N87" s="5"/>
      <c r="X87" s="5"/>
      <c r="Z87">
        <f>($E$9*AA86+$E$10*AA88)/(1+$E$6)</f>
        <v>16.853934912041417</v>
      </c>
      <c r="AB87" s="6">
        <f t="shared" si="17"/>
        <v>15</v>
      </c>
      <c r="AC87" t="s">
        <v>352</v>
      </c>
      <c r="AG87" s="5"/>
      <c r="AI87">
        <f>MAX((($E$9*AJ86+$E$10*AJ88)/(1+$E$6)),0,($AE$69-Q76))</f>
        <v>28.08</v>
      </c>
      <c r="AK87" s="6">
        <f t="shared" si="18"/>
        <v>15</v>
      </c>
      <c r="AL87" s="6" t="s">
        <v>352</v>
      </c>
    </row>
    <row r="88" spans="10:38" x14ac:dyDescent="0.2">
      <c r="N88" s="5"/>
      <c r="X88" s="13"/>
      <c r="Y88" s="14"/>
      <c r="Z88" s="14"/>
      <c r="AA88" s="14">
        <f>($E$9*AB87+$E$10*AB88)/(1+$E$6)</f>
        <v>34.257710000284298</v>
      </c>
      <c r="AB88" s="15">
        <f t="shared" si="17"/>
        <v>65</v>
      </c>
      <c r="AC88" t="s">
        <v>353</v>
      </c>
      <c r="AG88" s="13"/>
      <c r="AH88" s="14"/>
      <c r="AI88" s="14"/>
      <c r="AJ88" s="14">
        <f>MAX((($E$9*AK87+$E$10*AK88)/(1+$E$6)),0,($AE$69-R77))</f>
        <v>45.83</v>
      </c>
      <c r="AK88" s="15">
        <f t="shared" si="18"/>
        <v>65</v>
      </c>
      <c r="AL88" s="6" t="s">
        <v>353</v>
      </c>
    </row>
    <row r="89" spans="10:38" x14ac:dyDescent="0.2">
      <c r="N89" s="13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010AB-9FC0-F348-B7A5-CA8BDBEC0127}">
  <dimension ref="D5:AF68"/>
  <sheetViews>
    <sheetView zoomScale="75" workbookViewId="0">
      <selection activeCell="W10" sqref="W10"/>
    </sheetView>
  </sheetViews>
  <sheetFormatPr baseColWidth="10" defaultRowHeight="16" x14ac:dyDescent="0.2"/>
  <cols>
    <col min="4" max="4" width="13.5" customWidth="1"/>
    <col min="10" max="10" width="13" customWidth="1"/>
    <col min="19" max="19" width="12.1640625" customWidth="1"/>
  </cols>
  <sheetData>
    <row r="5" spans="4:32" x14ac:dyDescent="0.2">
      <c r="D5" s="31" t="s">
        <v>51</v>
      </c>
      <c r="E5" s="32"/>
      <c r="F5" s="32"/>
      <c r="G5" s="33"/>
      <c r="J5" s="31" t="s">
        <v>49</v>
      </c>
      <c r="K5" s="33"/>
      <c r="M5" s="31" t="s">
        <v>62</v>
      </c>
      <c r="N5" s="32"/>
      <c r="O5" s="32"/>
      <c r="P5" s="33"/>
      <c r="S5" s="31" t="s">
        <v>137</v>
      </c>
      <c r="T5" s="33"/>
      <c r="V5" s="31" t="s">
        <v>104</v>
      </c>
      <c r="W5" s="32"/>
      <c r="X5" s="32"/>
      <c r="Y5" s="33"/>
      <c r="AC5" s="31" t="s">
        <v>223</v>
      </c>
      <c r="AD5" s="29"/>
      <c r="AE5" s="29"/>
      <c r="AF5" s="30"/>
    </row>
    <row r="6" spans="4:32" x14ac:dyDescent="0.2">
      <c r="D6" s="2" t="s">
        <v>50</v>
      </c>
      <c r="E6" s="17">
        <v>3.5000000000000003E-2</v>
      </c>
      <c r="G6" s="6"/>
      <c r="J6" s="5" t="s">
        <v>55</v>
      </c>
      <c r="K6" s="18">
        <v>55</v>
      </c>
      <c r="M6" s="2" t="s">
        <v>3</v>
      </c>
      <c r="N6" s="45">
        <v>0</v>
      </c>
      <c r="O6" s="45">
        <v>1</v>
      </c>
      <c r="P6" s="41">
        <v>2</v>
      </c>
      <c r="R6" s="46" t="s">
        <v>107</v>
      </c>
      <c r="S6" s="5" t="s">
        <v>55</v>
      </c>
      <c r="T6" s="18">
        <v>95</v>
      </c>
      <c r="V6" s="2" t="s">
        <v>3</v>
      </c>
      <c r="W6" s="45">
        <v>0</v>
      </c>
      <c r="X6" s="45">
        <v>1</v>
      </c>
      <c r="Y6" s="41">
        <v>2</v>
      </c>
      <c r="AC6" s="2" t="s">
        <v>3</v>
      </c>
      <c r="AD6" s="45">
        <v>0</v>
      </c>
      <c r="AE6" s="45">
        <v>1</v>
      </c>
      <c r="AF6" s="41">
        <v>2</v>
      </c>
    </row>
    <row r="7" spans="4:32" x14ac:dyDescent="0.2">
      <c r="D7" s="48" t="s">
        <v>52</v>
      </c>
      <c r="E7" s="43">
        <f>F13/E14</f>
        <v>1.3</v>
      </c>
      <c r="G7" s="6"/>
      <c r="J7" s="5" t="s">
        <v>56</v>
      </c>
      <c r="K7" s="19">
        <v>2</v>
      </c>
      <c r="M7" s="5"/>
      <c r="P7" s="6">
        <f>MAX(G12-K6,0)</f>
        <v>114</v>
      </c>
      <c r="S7" s="5" t="s">
        <v>56</v>
      </c>
      <c r="T7" s="19">
        <v>2</v>
      </c>
      <c r="V7" s="5"/>
      <c r="Y7" s="6">
        <f>MAX(G12-$T$6,0)</f>
        <v>74</v>
      </c>
      <c r="AC7" s="5"/>
      <c r="AF7" s="6">
        <f>G12</f>
        <v>169</v>
      </c>
    </row>
    <row r="8" spans="4:32" x14ac:dyDescent="0.2">
      <c r="D8" s="48" t="s">
        <v>53</v>
      </c>
      <c r="E8" s="43">
        <f>F14/E14</f>
        <v>0.76919999999999999</v>
      </c>
      <c r="G8" s="6"/>
      <c r="J8" s="13" t="s">
        <v>68</v>
      </c>
      <c r="K8" s="15">
        <f>N9</f>
        <v>48.656911479847821</v>
      </c>
      <c r="M8" s="5"/>
      <c r="O8">
        <f>(F52*P7+J52*P8)/(1+$E$6)</f>
        <v>76.859903381642496</v>
      </c>
      <c r="P8" s="6">
        <f>MAX(G13-K6,0)</f>
        <v>45</v>
      </c>
      <c r="S8" s="13" t="s">
        <v>68</v>
      </c>
      <c r="T8" s="15">
        <f>W9</f>
        <v>19.654678571321231</v>
      </c>
      <c r="V8" s="5"/>
      <c r="X8">
        <f>MAX(((F52*Y7+J52*Y8)/(1+$E$6)),0,(F13-$T$6))</f>
        <v>38.212560386473413</v>
      </c>
      <c r="Y8" s="6">
        <f t="shared" ref="Y8:Y9" si="0">MAX(G13-$T$6,0)</f>
        <v>5</v>
      </c>
      <c r="AC8" s="5"/>
      <c r="AE8">
        <f>AF7*$E$9+AF8*$E$10</f>
        <v>134.55199698568197</v>
      </c>
      <c r="AF8" s="6">
        <f>G13</f>
        <v>100</v>
      </c>
    </row>
    <row r="9" spans="4:32" x14ac:dyDescent="0.2">
      <c r="D9" s="48" t="s">
        <v>60</v>
      </c>
      <c r="E9" s="43">
        <f>(1+E6-E8)/(E7-E8)</f>
        <v>0.50075357950263732</v>
      </c>
      <c r="G9" s="6"/>
      <c r="M9" s="13"/>
      <c r="N9" s="14">
        <f>(E53*O8+I53*O9)/(1+$E$6)</f>
        <v>48.656911479847821</v>
      </c>
      <c r="O9" s="14">
        <f>(F53*P8+J53*P9)/(1+$E$6)</f>
        <v>23.779903381642509</v>
      </c>
      <c r="P9" s="15">
        <f>MAX(G14-K6,0)</f>
        <v>4.1700000000000017</v>
      </c>
      <c r="V9" s="13"/>
      <c r="W9" s="14">
        <f>MAX(((E53*X8+I53*X9)/(1+$E$6)),0,(E14-$T$6))</f>
        <v>19.654678571321231</v>
      </c>
      <c r="X9" s="14">
        <f>MAX(((F53*Y8+J53*Y9)/(1+$E$6)),0,(F14-$T$6))</f>
        <v>2.4186771827573024</v>
      </c>
      <c r="Y9" s="15">
        <f t="shared" si="0"/>
        <v>0</v>
      </c>
      <c r="AC9" s="13"/>
      <c r="AD9" s="14">
        <f>AE8*$E$9+AE9*$E$10</f>
        <v>107.12528163401248</v>
      </c>
      <c r="AE9" s="14">
        <f>AF8*$E$9+AF9*$E$10</f>
        <v>79.615768651092679</v>
      </c>
      <c r="AF9" s="15">
        <f>G14</f>
        <v>59.17</v>
      </c>
    </row>
    <row r="10" spans="4:32" x14ac:dyDescent="0.2">
      <c r="D10" s="49" t="s">
        <v>54</v>
      </c>
      <c r="E10" s="44">
        <f>1-E9</f>
        <v>0.49924642049736268</v>
      </c>
      <c r="G10" s="6"/>
    </row>
    <row r="11" spans="4:32" x14ac:dyDescent="0.2">
      <c r="D11" s="5" t="s">
        <v>3</v>
      </c>
      <c r="E11" s="22">
        <v>0</v>
      </c>
      <c r="F11" s="22">
        <v>1</v>
      </c>
      <c r="G11" s="23">
        <v>2</v>
      </c>
    </row>
    <row r="12" spans="4:32" x14ac:dyDescent="0.2">
      <c r="D12" s="5"/>
      <c r="G12" s="18">
        <v>169</v>
      </c>
      <c r="AC12" s="28" t="s">
        <v>225</v>
      </c>
      <c r="AD12" s="29"/>
      <c r="AE12" s="29"/>
      <c r="AF12" s="30"/>
    </row>
    <row r="13" spans="4:32" x14ac:dyDescent="0.2">
      <c r="D13" s="5"/>
      <c r="F13" s="7">
        <v>130</v>
      </c>
      <c r="G13" s="18">
        <v>100</v>
      </c>
      <c r="AC13" s="2" t="s">
        <v>3</v>
      </c>
      <c r="AD13" s="45">
        <v>0</v>
      </c>
      <c r="AE13" s="45">
        <v>1</v>
      </c>
      <c r="AF13" s="41">
        <v>2</v>
      </c>
    </row>
    <row r="14" spans="4:32" x14ac:dyDescent="0.2">
      <c r="D14" s="13"/>
      <c r="E14" s="39">
        <v>100</v>
      </c>
      <c r="F14" s="39">
        <v>76.92</v>
      </c>
      <c r="G14" s="36">
        <v>59.17</v>
      </c>
      <c r="J14" s="31" t="s">
        <v>61</v>
      </c>
      <c r="K14" s="33"/>
      <c r="M14" s="31" t="s">
        <v>67</v>
      </c>
      <c r="N14" s="32"/>
      <c r="O14" s="32"/>
      <c r="P14" s="33"/>
      <c r="S14" s="31" t="s">
        <v>102</v>
      </c>
      <c r="T14" s="33"/>
      <c r="V14" s="31" t="s">
        <v>105</v>
      </c>
      <c r="W14" s="32"/>
      <c r="X14" s="32"/>
      <c r="Y14" s="33"/>
      <c r="AC14" s="5"/>
      <c r="AF14" s="64">
        <f>AF7-AE8</f>
        <v>34.448003014318033</v>
      </c>
    </row>
    <row r="15" spans="4:32" x14ac:dyDescent="0.2">
      <c r="J15" s="51" t="s">
        <v>153</v>
      </c>
      <c r="K15" s="6">
        <f>K6</f>
        <v>55</v>
      </c>
      <c r="M15" s="2" t="s">
        <v>3</v>
      </c>
      <c r="N15" s="45">
        <v>0</v>
      </c>
      <c r="O15" s="45">
        <v>1</v>
      </c>
      <c r="P15" s="41">
        <v>2</v>
      </c>
      <c r="S15" s="51" t="s">
        <v>153</v>
      </c>
      <c r="T15" s="6">
        <f>T6</f>
        <v>95</v>
      </c>
      <c r="V15" s="2" t="s">
        <v>3</v>
      </c>
      <c r="W15" s="45">
        <v>0</v>
      </c>
      <c r="X15" s="45">
        <v>1</v>
      </c>
      <c r="Y15" s="41">
        <v>2</v>
      </c>
      <c r="AC15" s="5"/>
      <c r="AE15" s="63">
        <f>AE8-AD9</f>
        <v>27.426715351669486</v>
      </c>
      <c r="AF15" s="6"/>
    </row>
    <row r="16" spans="4:32" x14ac:dyDescent="0.2">
      <c r="J16" s="5" t="s">
        <v>69</v>
      </c>
      <c r="K16" s="6">
        <f>K7</f>
        <v>2</v>
      </c>
      <c r="M16" s="5"/>
      <c r="P16" s="6">
        <f>MAX(K6-G12,0)</f>
        <v>0</v>
      </c>
      <c r="S16" s="5" t="s">
        <v>69</v>
      </c>
      <c r="T16" s="6">
        <f>T7</f>
        <v>2</v>
      </c>
      <c r="V16" s="5"/>
      <c r="Y16" s="6">
        <f>MAX($T$6-G12,0)</f>
        <v>0</v>
      </c>
      <c r="AC16" s="5"/>
      <c r="AF16" s="60">
        <f>AF8-AE8</f>
        <v>-34.551996985681967</v>
      </c>
    </row>
    <row r="17" spans="4:32" x14ac:dyDescent="0.2">
      <c r="D17" s="31" t="s">
        <v>66</v>
      </c>
      <c r="E17" s="32"/>
      <c r="F17" s="32"/>
      <c r="G17" s="33"/>
      <c r="J17" s="13" t="s">
        <v>91</v>
      </c>
      <c r="K17" s="15">
        <f>N18</f>
        <v>0</v>
      </c>
      <c r="M17" s="5"/>
      <c r="O17">
        <f>(F52*P16+J52*P17)/(1+$E$6)</f>
        <v>0</v>
      </c>
      <c r="P17" s="6">
        <f>MAX(K6-G13,0)</f>
        <v>0</v>
      </c>
      <c r="S17" s="13" t="s">
        <v>91</v>
      </c>
      <c r="T17" s="15">
        <f>W18</f>
        <v>8.7211355387365384</v>
      </c>
      <c r="V17" s="5"/>
      <c r="X17">
        <f>MAX(((F52*Y16+J52*Y17)/(1+$E$6)),0,($T$6-F13))</f>
        <v>0</v>
      </c>
      <c r="Y17" s="6">
        <f>MAX($T$6-G13,0)</f>
        <v>0</v>
      </c>
      <c r="AC17" s="5"/>
      <c r="AD17" s="22">
        <v>0</v>
      </c>
      <c r="AF17" s="6"/>
    </row>
    <row r="18" spans="4:32" x14ac:dyDescent="0.2">
      <c r="D18" s="5" t="s">
        <v>63</v>
      </c>
      <c r="E18" t="s">
        <v>85</v>
      </c>
      <c r="F18" t="s">
        <v>63</v>
      </c>
      <c r="G18" s="6" t="s">
        <v>64</v>
      </c>
      <c r="M18" s="13"/>
      <c r="N18" s="14">
        <f>(E53*O17+I53*O18)/(1+$E$6)</f>
        <v>0</v>
      </c>
      <c r="O18" s="14">
        <f>(F53*P17+J53*P18)/(1+$E$6)</f>
        <v>0</v>
      </c>
      <c r="P18" s="15">
        <f>MAX(K6-G14,0)</f>
        <v>0</v>
      </c>
      <c r="V18" s="13"/>
      <c r="W18" s="14">
        <f>MAX(((E53*X17+I53*X18)/(1+$E$6)),0,($T$6-E14))</f>
        <v>8.7211355387365384</v>
      </c>
      <c r="X18" s="14">
        <f>MAX(((F53*Y17+J53*Y18)/(1+$E$6)),0,($T$6-F14))</f>
        <v>18.079999999999998</v>
      </c>
      <c r="Y18" s="15">
        <f>MAX($T$6-G14,0)</f>
        <v>35.83</v>
      </c>
      <c r="AC18" s="5"/>
      <c r="AF18" s="64">
        <f>AF8-AE9</f>
        <v>20.384231348907321</v>
      </c>
    </row>
    <row r="19" spans="4:32" x14ac:dyDescent="0.2">
      <c r="D19" s="5"/>
      <c r="F19" s="20" t="s">
        <v>1</v>
      </c>
      <c r="G19" s="21">
        <f>G12/F13</f>
        <v>1.3</v>
      </c>
      <c r="AC19" s="5"/>
      <c r="AE19" s="61">
        <f>AE9-AD9</f>
        <v>-27.509512982919802</v>
      </c>
      <c r="AF19" s="6"/>
    </row>
    <row r="20" spans="4:32" x14ac:dyDescent="0.2">
      <c r="D20" s="27" t="s">
        <v>1</v>
      </c>
      <c r="E20" s="20">
        <f>F13/E14</f>
        <v>1.3</v>
      </c>
      <c r="F20" s="22" t="s">
        <v>2</v>
      </c>
      <c r="G20" s="23">
        <f>G13/F13</f>
        <v>0.76923076923076927</v>
      </c>
      <c r="AC20" s="13"/>
      <c r="AD20" s="14"/>
      <c r="AE20" s="14"/>
      <c r="AF20" s="62">
        <f>AF9-AE9</f>
        <v>-20.445768651092678</v>
      </c>
    </row>
    <row r="21" spans="4:32" x14ac:dyDescent="0.2">
      <c r="D21" s="25" t="s">
        <v>2</v>
      </c>
      <c r="E21" s="22">
        <f>F14/E14</f>
        <v>0.76919999999999999</v>
      </c>
      <c r="F21" s="20" t="s">
        <v>1</v>
      </c>
      <c r="G21" s="21">
        <f>G13/F14</f>
        <v>1.3000520020800832</v>
      </c>
      <c r="J21" s="31" t="s">
        <v>90</v>
      </c>
      <c r="K21" s="33"/>
      <c r="M21" s="31" t="s">
        <v>71</v>
      </c>
      <c r="N21" s="32"/>
      <c r="O21" s="32"/>
      <c r="P21" s="33"/>
      <c r="S21" s="31" t="s">
        <v>103</v>
      </c>
      <c r="T21" s="33"/>
      <c r="V21" s="31" t="s">
        <v>106</v>
      </c>
      <c r="W21" s="32"/>
      <c r="X21" s="32"/>
      <c r="Y21" s="33"/>
    </row>
    <row r="22" spans="4:32" x14ac:dyDescent="0.2">
      <c r="D22" s="13"/>
      <c r="E22" s="14"/>
      <c r="F22" s="26" t="s">
        <v>2</v>
      </c>
      <c r="G22" s="24">
        <f>G14/F14</f>
        <v>0.76924076963078525</v>
      </c>
      <c r="J22" s="51" t="s">
        <v>153</v>
      </c>
      <c r="K22" s="18">
        <v>60</v>
      </c>
      <c r="M22" s="5" t="s">
        <v>3</v>
      </c>
      <c r="N22" s="22">
        <v>0</v>
      </c>
      <c r="O22" s="22">
        <v>1</v>
      </c>
      <c r="P22" s="23">
        <v>2</v>
      </c>
      <c r="R22" s="46" t="s">
        <v>107</v>
      </c>
      <c r="S22" s="51" t="s">
        <v>153</v>
      </c>
      <c r="T22" s="18">
        <v>60</v>
      </c>
      <c r="V22" s="2" t="s">
        <v>3</v>
      </c>
      <c r="W22" s="45">
        <v>0</v>
      </c>
      <c r="X22" s="45">
        <v>1</v>
      </c>
      <c r="Y22" s="41">
        <v>2</v>
      </c>
    </row>
    <row r="23" spans="4:32" x14ac:dyDescent="0.2">
      <c r="J23" s="5" t="s">
        <v>69</v>
      </c>
      <c r="K23" s="19">
        <v>2</v>
      </c>
      <c r="M23" s="5"/>
      <c r="P23" s="6">
        <f>MAX(K22-G12,0)</f>
        <v>0</v>
      </c>
      <c r="S23" s="5" t="s">
        <v>69</v>
      </c>
      <c r="T23" s="19">
        <v>2</v>
      </c>
      <c r="V23" s="5"/>
      <c r="Y23" s="6">
        <f>MAX($T$22-G12,0)</f>
        <v>0</v>
      </c>
      <c r="AC23" s="28" t="s">
        <v>226</v>
      </c>
      <c r="AD23" s="29"/>
      <c r="AE23" s="29"/>
      <c r="AF23" s="30"/>
    </row>
    <row r="24" spans="4:32" x14ac:dyDescent="0.2">
      <c r="J24" s="13" t="s">
        <v>91</v>
      </c>
      <c r="K24" s="15">
        <f>N25</f>
        <v>0.19315383583833373</v>
      </c>
      <c r="M24" s="5"/>
      <c r="O24">
        <f>(F52*P23+J52*P24)/(1+$E$6)</f>
        <v>0</v>
      </c>
      <c r="P24" s="6">
        <f>MAX(K22-G13,0)</f>
        <v>0</v>
      </c>
      <c r="S24" s="13" t="s">
        <v>91</v>
      </c>
      <c r="T24" s="15">
        <f>W25</f>
        <v>0.19315383583833373</v>
      </c>
      <c r="V24" s="5"/>
      <c r="X24">
        <f>MAX(((F52*Y23+J52*Y24)/(1+$E$6)),0,($T$22-F13))</f>
        <v>0</v>
      </c>
      <c r="Y24" s="6">
        <f t="shared" ref="Y24:Y25" si="1">MAX($T$22-G13,0)</f>
        <v>0</v>
      </c>
      <c r="AC24" s="2" t="s">
        <v>3</v>
      </c>
      <c r="AD24" s="45">
        <v>0</v>
      </c>
      <c r="AE24" s="45">
        <v>1</v>
      </c>
      <c r="AF24" s="41">
        <v>2</v>
      </c>
    </row>
    <row r="25" spans="4:32" x14ac:dyDescent="0.2">
      <c r="D25" s="28" t="s">
        <v>74</v>
      </c>
      <c r="E25" s="29"/>
      <c r="F25" s="29"/>
      <c r="G25" s="30"/>
      <c r="H25" t="s">
        <v>165</v>
      </c>
      <c r="M25" s="13"/>
      <c r="N25" s="14">
        <f>(E53*O24+I53*O25)/(1+$E$6)</f>
        <v>0.19315383583833373</v>
      </c>
      <c r="O25" s="14">
        <f>(F53*P24+J53*P25)/(1+$E$6)</f>
        <v>0.40043195481204552</v>
      </c>
      <c r="P25" s="15">
        <f>MAX(K22-G14,0)</f>
        <v>0.82999999999999829</v>
      </c>
      <c r="V25" s="13"/>
      <c r="W25" s="14">
        <f>MAX(((E53*X24+I53*X25)/(1+$E$6)),0,($T$22-E14))</f>
        <v>0.19315383583833373</v>
      </c>
      <c r="X25" s="14">
        <f>MAX(((F53*Y24+J53*Y25)/(1+$E$6)),0,($T$22-F14))</f>
        <v>0.40043195481204552</v>
      </c>
      <c r="Y25" s="15">
        <f t="shared" si="1"/>
        <v>0.82999999999999829</v>
      </c>
      <c r="AC25" s="5"/>
      <c r="AF25" s="64">
        <f>-AF14</f>
        <v>-34.448003014318033</v>
      </c>
    </row>
    <row r="26" spans="4:32" x14ac:dyDescent="0.2">
      <c r="D26" s="5" t="s">
        <v>73</v>
      </c>
      <c r="E26">
        <f>K8</f>
        <v>48.656911479847821</v>
      </c>
      <c r="F26" t="s">
        <v>75</v>
      </c>
      <c r="G26" s="43">
        <f>-E14+(1/((1+E6)^K7))*K6+E26</f>
        <v>0</v>
      </c>
      <c r="H26">
        <f>IF(AND(E26&lt;=G27+0.00001,E26&gt;=G27-0.0000001),0,1)</f>
        <v>0</v>
      </c>
      <c r="AC26" s="5"/>
      <c r="AE26" s="63">
        <f>-AE15</f>
        <v>-27.426715351669486</v>
      </c>
      <c r="AF26" s="6"/>
    </row>
    <row r="27" spans="4:32" x14ac:dyDescent="0.2">
      <c r="D27" s="13" t="s">
        <v>72</v>
      </c>
      <c r="E27" s="14">
        <f>K17</f>
        <v>0</v>
      </c>
      <c r="F27" s="14" t="s">
        <v>76</v>
      </c>
      <c r="G27" s="44">
        <f>E14-(1/((1+E6)^K7))*K6+E27</f>
        <v>48.656911479847835</v>
      </c>
      <c r="H27">
        <f>IF(AND(E27&lt;=G26+0.00001,E27&gt;=G26-0.0000001),0,1)</f>
        <v>0</v>
      </c>
      <c r="AC27" s="5"/>
      <c r="AF27" s="60">
        <f>-AF16</f>
        <v>34.551996985681967</v>
      </c>
    </row>
    <row r="28" spans="4:32" x14ac:dyDescent="0.2">
      <c r="AC28" s="5"/>
      <c r="AD28" s="22">
        <v>0</v>
      </c>
      <c r="AF28" s="6"/>
    </row>
    <row r="29" spans="4:32" x14ac:dyDescent="0.2">
      <c r="D29" t="s">
        <v>99</v>
      </c>
      <c r="H29" t="s">
        <v>100</v>
      </c>
      <c r="L29" t="s">
        <v>101</v>
      </c>
      <c r="Q29" t="s">
        <v>109</v>
      </c>
      <c r="U29" t="s">
        <v>110</v>
      </c>
      <c r="Y29" t="s">
        <v>111</v>
      </c>
      <c r="AC29" s="5"/>
      <c r="AF29" s="64">
        <f>-AF18</f>
        <v>-20.384231348907321</v>
      </c>
    </row>
    <row r="30" spans="4:32" x14ac:dyDescent="0.2">
      <c r="D30" s="28" t="s">
        <v>88</v>
      </c>
      <c r="E30" s="30"/>
      <c r="H30" s="31" t="s">
        <v>89</v>
      </c>
      <c r="I30" s="33"/>
      <c r="L30" s="31" t="s">
        <v>98</v>
      </c>
      <c r="M30" s="33"/>
      <c r="Q30" s="28" t="s">
        <v>88</v>
      </c>
      <c r="R30" s="30"/>
      <c r="U30" s="31" t="s">
        <v>89</v>
      </c>
      <c r="V30" s="33"/>
      <c r="Y30" s="31" t="s">
        <v>98</v>
      </c>
      <c r="Z30" s="33"/>
      <c r="AC30" s="5"/>
      <c r="AE30" s="61">
        <f>-AE19</f>
        <v>27.509512982919802</v>
      </c>
      <c r="AF30" s="6"/>
    </row>
    <row r="31" spans="4:32" x14ac:dyDescent="0.2">
      <c r="D31" s="40" t="s">
        <v>82</v>
      </c>
      <c r="E31" s="41">
        <f>F13</f>
        <v>130</v>
      </c>
      <c r="H31" s="40" t="s">
        <v>82</v>
      </c>
      <c r="I31" s="41">
        <f>F13</f>
        <v>130</v>
      </c>
      <c r="L31" s="40" t="s">
        <v>82</v>
      </c>
      <c r="M31" s="41">
        <f>F13</f>
        <v>130</v>
      </c>
      <c r="Q31" s="40" t="s">
        <v>82</v>
      </c>
      <c r="R31" s="41">
        <f>$F$13</f>
        <v>130</v>
      </c>
      <c r="U31" s="40" t="s">
        <v>82</v>
      </c>
      <c r="V31" s="41">
        <f>$F$13</f>
        <v>130</v>
      </c>
      <c r="Y31" s="40" t="s">
        <v>82</v>
      </c>
      <c r="Z31" s="41">
        <f>$F$13</f>
        <v>130</v>
      </c>
      <c r="AC31" s="13"/>
      <c r="AD31" s="14"/>
      <c r="AE31" s="14"/>
      <c r="AF31" s="62">
        <f>-AF20</f>
        <v>20.445768651092678</v>
      </c>
    </row>
    <row r="32" spans="4:32" x14ac:dyDescent="0.2">
      <c r="D32" s="5" t="s">
        <v>78</v>
      </c>
      <c r="E32" s="6">
        <f>(P7-P8)/(G12-G13)</f>
        <v>1</v>
      </c>
      <c r="H32" s="5" t="s">
        <v>78</v>
      </c>
      <c r="I32" s="6">
        <f>(P16-P17)/(G12-G13)</f>
        <v>0</v>
      </c>
      <c r="L32" s="5" t="s">
        <v>78</v>
      </c>
      <c r="M32" s="6">
        <f>(P23-P24)/(G12-G13)</f>
        <v>0</v>
      </c>
      <c r="Q32" s="5" t="s">
        <v>78</v>
      </c>
      <c r="R32" s="6">
        <f>($Y$7-$Y$8)/($G$12-$G$13)</f>
        <v>1</v>
      </c>
      <c r="U32" s="5" t="s">
        <v>78</v>
      </c>
      <c r="V32" s="6">
        <f>($Y$16-$Y$17)/($G$12-$G$13)</f>
        <v>0</v>
      </c>
      <c r="Y32" s="5" t="s">
        <v>78</v>
      </c>
      <c r="Z32" s="6">
        <f>($Y$23-$Y$24)/($G$12-$G$13)</f>
        <v>0</v>
      </c>
    </row>
    <row r="33" spans="4:27" x14ac:dyDescent="0.2">
      <c r="D33" s="5" t="s">
        <v>134</v>
      </c>
      <c r="E33" s="6">
        <f>(P7-E32*G12)/(1+E6)</f>
        <v>-53.140096618357489</v>
      </c>
      <c r="F33" t="s">
        <v>80</v>
      </c>
      <c r="H33" s="5" t="s">
        <v>134</v>
      </c>
      <c r="I33" s="6">
        <f>(P16-I32*G12)/(1+E6)</f>
        <v>0</v>
      </c>
      <c r="J33" t="s">
        <v>92</v>
      </c>
      <c r="L33" s="5" t="s">
        <v>134</v>
      </c>
      <c r="M33" s="6">
        <f>(P23-$M$32*G12)/(1+$E$6)</f>
        <v>0</v>
      </c>
      <c r="N33" t="s">
        <v>92</v>
      </c>
      <c r="Q33" s="5" t="s">
        <v>134</v>
      </c>
      <c r="R33" s="6">
        <f>($Y7-$R$32*$G12)/(1+$E$6)</f>
        <v>-91.787439613526573</v>
      </c>
      <c r="S33" t="s">
        <v>80</v>
      </c>
      <c r="U33" s="5" t="s">
        <v>134</v>
      </c>
      <c r="V33" s="6">
        <f>($Y16-$V$32*$G12)/(1+$E$6)</f>
        <v>0</v>
      </c>
      <c r="W33" t="s">
        <v>92</v>
      </c>
      <c r="Y33" s="5" t="s">
        <v>134</v>
      </c>
      <c r="Z33" s="6">
        <f>($Y23-$Z$32*$G12)/(1+$E$6)</f>
        <v>0</v>
      </c>
      <c r="AA33" t="s">
        <v>92</v>
      </c>
    </row>
    <row r="34" spans="4:27" x14ac:dyDescent="0.2">
      <c r="D34" s="13" t="s">
        <v>134</v>
      </c>
      <c r="E34" s="15">
        <f>(P8-E32*G13)/(1+E6)</f>
        <v>-53.140096618357489</v>
      </c>
      <c r="F34" t="s">
        <v>79</v>
      </c>
      <c r="H34" s="13" t="s">
        <v>134</v>
      </c>
      <c r="I34" s="15">
        <f>(P17-I32*G13)/(1+E6)</f>
        <v>0</v>
      </c>
      <c r="J34" t="s">
        <v>93</v>
      </c>
      <c r="L34" s="13" t="s">
        <v>134</v>
      </c>
      <c r="M34" s="15">
        <f>(P24-$M$32*G13)/(1+$E$6)</f>
        <v>0</v>
      </c>
      <c r="N34" t="s">
        <v>93</v>
      </c>
      <c r="Q34" s="13" t="s">
        <v>134</v>
      </c>
      <c r="R34" s="15">
        <f>($Y8-$R$32*$G13)/(1+$E$6)</f>
        <v>-91.787439613526573</v>
      </c>
      <c r="S34" t="s">
        <v>79</v>
      </c>
      <c r="U34" s="13" t="s">
        <v>134</v>
      </c>
      <c r="V34" s="15">
        <f>($Y17-$V$32*$G13)/(1+$E$6)</f>
        <v>0</v>
      </c>
      <c r="W34" t="s">
        <v>93</v>
      </c>
      <c r="Y34" s="13" t="s">
        <v>134</v>
      </c>
      <c r="Z34" s="15">
        <f>($Y24-$Z$32*$G13)/(1+$E$6)</f>
        <v>0</v>
      </c>
      <c r="AA34" t="s">
        <v>93</v>
      </c>
    </row>
    <row r="35" spans="4:27" x14ac:dyDescent="0.2">
      <c r="D35" s="5"/>
      <c r="E35" s="6"/>
      <c r="H35" s="5"/>
      <c r="I35" s="6"/>
      <c r="L35" s="5"/>
      <c r="M35" s="6"/>
      <c r="Q35" s="5"/>
      <c r="R35" s="6"/>
      <c r="U35" s="5"/>
      <c r="V35" s="6"/>
      <c r="Y35" s="5"/>
      <c r="Z35" s="6"/>
    </row>
    <row r="36" spans="4:27" x14ac:dyDescent="0.2">
      <c r="D36" s="40" t="s">
        <v>81</v>
      </c>
      <c r="E36" s="41">
        <f>F14</f>
        <v>76.92</v>
      </c>
      <c r="H36" s="40" t="s">
        <v>81</v>
      </c>
      <c r="I36" s="41">
        <f>F14</f>
        <v>76.92</v>
      </c>
      <c r="L36" s="40" t="s">
        <v>81</v>
      </c>
      <c r="M36" s="41">
        <f>F14</f>
        <v>76.92</v>
      </c>
      <c r="Q36" s="40" t="s">
        <v>81</v>
      </c>
      <c r="R36" s="41">
        <f>$F$14</f>
        <v>76.92</v>
      </c>
      <c r="U36" s="40" t="s">
        <v>81</v>
      </c>
      <c r="V36" s="41">
        <f>$F$14</f>
        <v>76.92</v>
      </c>
      <c r="Y36" s="40" t="s">
        <v>81</v>
      </c>
      <c r="Z36" s="41">
        <f>$F$14</f>
        <v>76.92</v>
      </c>
    </row>
    <row r="37" spans="4:27" x14ac:dyDescent="0.2">
      <c r="D37" s="5" t="s">
        <v>78</v>
      </c>
      <c r="E37" s="6">
        <f>(P8-P9)/(G13-G14)</f>
        <v>1</v>
      </c>
      <c r="H37" s="5" t="s">
        <v>78</v>
      </c>
      <c r="I37" s="6">
        <f>(P17-P18)/(G13-G14)</f>
        <v>0</v>
      </c>
      <c r="L37" s="5" t="s">
        <v>78</v>
      </c>
      <c r="M37" s="6">
        <f>(P24-P25)/(G13-G14)</f>
        <v>-2.0328190056331089E-2</v>
      </c>
      <c r="Q37" s="5" t="s">
        <v>78</v>
      </c>
      <c r="R37" s="6">
        <f>($Y$8-$Y$9)/($G$13-$G$14)</f>
        <v>0.12245897624295861</v>
      </c>
      <c r="U37" s="5" t="s">
        <v>78</v>
      </c>
      <c r="V37" s="6">
        <f>($Y$17-$Y$18)/($G$13-$G$14)</f>
        <v>-0.87754102375704135</v>
      </c>
      <c r="Y37" s="5" t="s">
        <v>78</v>
      </c>
      <c r="Z37" s="6">
        <f>($Y$24-$Y$25)/($G$13-$G$14)</f>
        <v>-2.0328190056331089E-2</v>
      </c>
    </row>
    <row r="38" spans="4:27" x14ac:dyDescent="0.2">
      <c r="D38" s="5" t="s">
        <v>134</v>
      </c>
      <c r="E38" s="6">
        <f>(P8-E37*G13)/(1+E6)</f>
        <v>-53.140096618357489</v>
      </c>
      <c r="F38" t="s">
        <v>83</v>
      </c>
      <c r="H38" s="5" t="s">
        <v>134</v>
      </c>
      <c r="I38" s="6">
        <f>(P17-I37*G13)/(1+E6)</f>
        <v>0</v>
      </c>
      <c r="J38" t="s">
        <v>94</v>
      </c>
      <c r="L38" s="5" t="s">
        <v>134</v>
      </c>
      <c r="M38" s="6">
        <f>(P24-$M$37*G13)/(1+$E$6)</f>
        <v>1.9640763339450331</v>
      </c>
      <c r="N38" t="s">
        <v>94</v>
      </c>
      <c r="Q38" s="5" t="s">
        <v>134</v>
      </c>
      <c r="R38" s="6">
        <f>($Y8-$R$37*$G13)/(1+$E$6)</f>
        <v>-7.0008672698510734</v>
      </c>
      <c r="S38" t="s">
        <v>83</v>
      </c>
      <c r="U38" s="5" t="s">
        <v>134</v>
      </c>
      <c r="V38" s="6">
        <f>($Y17-$V$37*$G13)/(1+$E$6)</f>
        <v>84.786572343675502</v>
      </c>
      <c r="W38" t="s">
        <v>94</v>
      </c>
      <c r="Y38" s="5" t="s">
        <v>134</v>
      </c>
      <c r="Z38" s="6">
        <f>($Y24-$Z$37*$G13)/(1+$E$6)</f>
        <v>1.9640763339450331</v>
      </c>
      <c r="AA38" t="s">
        <v>94</v>
      </c>
    </row>
    <row r="39" spans="4:27" x14ac:dyDescent="0.2">
      <c r="D39" s="13" t="s">
        <v>134</v>
      </c>
      <c r="E39" s="15">
        <f>(P9-E37*G14)/(1+E6)</f>
        <v>-53.140096618357489</v>
      </c>
      <c r="F39" t="s">
        <v>84</v>
      </c>
      <c r="H39" s="13" t="s">
        <v>134</v>
      </c>
      <c r="I39" s="15">
        <f>(P18-I37*G14)/(1+E6)</f>
        <v>0</v>
      </c>
      <c r="J39" t="s">
        <v>95</v>
      </c>
      <c r="L39" s="13" t="s">
        <v>134</v>
      </c>
      <c r="M39" s="15">
        <f>(P25-$M$37*G14)/(1+$E$6)</f>
        <v>1.9640763339450331</v>
      </c>
      <c r="N39" t="s">
        <v>95</v>
      </c>
      <c r="Q39" s="13" t="s">
        <v>134</v>
      </c>
      <c r="R39" s="15">
        <f>($Y9-$R$37*$G14)/(1+$E$6)</f>
        <v>-7.0008672698510743</v>
      </c>
      <c r="S39" t="s">
        <v>84</v>
      </c>
      <c r="U39" s="13" t="s">
        <v>134</v>
      </c>
      <c r="V39" s="15">
        <f>($Y18-$V$37*$G14)/(1+$E$6)</f>
        <v>84.786572343675502</v>
      </c>
      <c r="W39" t="s">
        <v>95</v>
      </c>
      <c r="Y39" s="13" t="s">
        <v>134</v>
      </c>
      <c r="Z39" s="15">
        <f>($Y25-$Z$37*$G14)/(1+$E$6)</f>
        <v>1.9640763339450331</v>
      </c>
      <c r="AA39" t="s">
        <v>95</v>
      </c>
    </row>
    <row r="40" spans="4:27" x14ac:dyDescent="0.2">
      <c r="D40" s="5"/>
      <c r="E40" s="6"/>
      <c r="H40" s="5"/>
      <c r="I40" s="6"/>
      <c r="L40" s="5"/>
      <c r="M40" s="6"/>
      <c r="Q40" s="5"/>
      <c r="R40" s="6"/>
      <c r="U40" s="5"/>
      <c r="V40" s="6"/>
      <c r="Y40" s="5"/>
      <c r="Z40" s="6"/>
    </row>
    <row r="41" spans="4:27" x14ac:dyDescent="0.2">
      <c r="D41" s="40" t="s">
        <v>85</v>
      </c>
      <c r="E41" s="41">
        <f>E14</f>
        <v>100</v>
      </c>
      <c r="H41" s="40" t="s">
        <v>85</v>
      </c>
      <c r="I41" s="41">
        <f>E14</f>
        <v>100</v>
      </c>
      <c r="L41" s="40" t="s">
        <v>85</v>
      </c>
      <c r="M41" s="41">
        <f>E14</f>
        <v>100</v>
      </c>
      <c r="Q41" s="40" t="s">
        <v>85</v>
      </c>
      <c r="R41" s="41">
        <f>$E$14</f>
        <v>100</v>
      </c>
      <c r="U41" s="40" t="s">
        <v>85</v>
      </c>
      <c r="V41" s="41">
        <f>$E$14</f>
        <v>100</v>
      </c>
      <c r="Y41" s="40" t="s">
        <v>85</v>
      </c>
      <c r="Z41" s="41">
        <f>$E$14</f>
        <v>100</v>
      </c>
    </row>
    <row r="42" spans="4:27" x14ac:dyDescent="0.2">
      <c r="D42" s="5" t="s">
        <v>78</v>
      </c>
      <c r="E42" s="6">
        <f>(O8-O9)/(F13-F14)</f>
        <v>0.99999999999999978</v>
      </c>
      <c r="H42" s="5" t="s">
        <v>78</v>
      </c>
      <c r="I42" s="6">
        <f>(O17-O18)/(F13-F14)</f>
        <v>0</v>
      </c>
      <c r="L42" s="5" t="s">
        <v>78</v>
      </c>
      <c r="M42" s="6">
        <f>(O24-O25)/(F13-F14)</f>
        <v>-7.5439328336858614E-3</v>
      </c>
      <c r="Q42" s="5" t="s">
        <v>78</v>
      </c>
      <c r="R42" s="6">
        <f>($X$8-$X$9)/($F$13-$F$14)</f>
        <v>0.67433841755305413</v>
      </c>
      <c r="U42" s="5" t="s">
        <v>78</v>
      </c>
      <c r="V42" s="6">
        <f>($X$17-$X$18)/($F$13-$F$14)</f>
        <v>-0.34061793519216277</v>
      </c>
      <c r="Y42" s="5" t="s">
        <v>78</v>
      </c>
      <c r="Z42" s="6">
        <f>($X$24-$X$25)/($F$13-$F$14)</f>
        <v>-7.5439328336858614E-3</v>
      </c>
    </row>
    <row r="43" spans="4:27" x14ac:dyDescent="0.2">
      <c r="D43" s="5" t="s">
        <v>134</v>
      </c>
      <c r="E43" s="6">
        <f>(O8-E42*F13)/(1+E6)</f>
        <v>-51.343088520152151</v>
      </c>
      <c r="F43" t="s">
        <v>86</v>
      </c>
      <c r="H43" s="5" t="s">
        <v>134</v>
      </c>
      <c r="I43" s="6">
        <f>(O17-I42*F13)/(1+E6)</f>
        <v>0</v>
      </c>
      <c r="J43" t="s">
        <v>96</v>
      </c>
      <c r="L43" s="5" t="s">
        <v>134</v>
      </c>
      <c r="M43" s="6">
        <f>(O24-M42*F13)/(1+E6)</f>
        <v>0.94754711920691992</v>
      </c>
      <c r="N43" t="s">
        <v>96</v>
      </c>
      <c r="Q43" s="5" t="s">
        <v>134</v>
      </c>
      <c r="R43" s="6">
        <f>($X8-$R$42*$F13)/(1+$E$6)</f>
        <v>-47.779163183984174</v>
      </c>
      <c r="S43" t="s">
        <v>86</v>
      </c>
      <c r="U43" s="5" t="s">
        <v>134</v>
      </c>
      <c r="V43" s="6">
        <f>($X17-$V$42*$F13)/(1+$E$6)</f>
        <v>42.782929057952813</v>
      </c>
      <c r="W43" t="s">
        <v>96</v>
      </c>
      <c r="Y43" s="5" t="s">
        <v>134</v>
      </c>
      <c r="Z43" s="6">
        <f>($X24-$Z$42*$F13)/(1+$E$6)</f>
        <v>0.94754711920691992</v>
      </c>
      <c r="AA43" t="s">
        <v>96</v>
      </c>
    </row>
    <row r="44" spans="4:27" x14ac:dyDescent="0.2">
      <c r="D44" s="13" t="s">
        <v>134</v>
      </c>
      <c r="E44" s="15">
        <f>(O9-E42*F14)/(1+E6)</f>
        <v>-51.343088520152151</v>
      </c>
      <c r="F44" t="s">
        <v>87</v>
      </c>
      <c r="H44" s="13" t="s">
        <v>134</v>
      </c>
      <c r="I44" s="15">
        <f>(O18-I42*F14)/(1+E6)</f>
        <v>0</v>
      </c>
      <c r="J44" t="s">
        <v>97</v>
      </c>
      <c r="L44" s="13" t="s">
        <v>134</v>
      </c>
      <c r="M44" s="15">
        <f>(O25-M42*F14)/(1+E6)</f>
        <v>0.94754711920691992</v>
      </c>
      <c r="N44" t="s">
        <v>97</v>
      </c>
      <c r="Q44" s="13" t="s">
        <v>134</v>
      </c>
      <c r="R44" s="15">
        <f>($X9-$R$42*$F14)/(1+$E$6)</f>
        <v>-47.779163183984181</v>
      </c>
      <c r="S44" t="s">
        <v>87</v>
      </c>
      <c r="U44" s="13" t="s">
        <v>134</v>
      </c>
      <c r="V44" s="15">
        <f>($X18-$V$42*$F14)/(1+$E$6)</f>
        <v>42.782929057952813</v>
      </c>
      <c r="W44" t="s">
        <v>97</v>
      </c>
      <c r="Y44" s="13" t="s">
        <v>134</v>
      </c>
      <c r="Z44" s="15">
        <f>($X25-$Z$42*$F14)/(1+$E$6)</f>
        <v>0.94754711920691992</v>
      </c>
      <c r="AA44" t="s">
        <v>97</v>
      </c>
    </row>
    <row r="49" spans="4:15" x14ac:dyDescent="0.2">
      <c r="M49" t="s">
        <v>224</v>
      </c>
    </row>
    <row r="50" spans="4:15" x14ac:dyDescent="0.2">
      <c r="D50" s="2" t="s">
        <v>129</v>
      </c>
      <c r="E50" s="3"/>
      <c r="F50" s="4"/>
      <c r="H50" s="2" t="s">
        <v>130</v>
      </c>
      <c r="I50" s="3"/>
      <c r="J50" s="4"/>
      <c r="M50" t="s">
        <v>159</v>
      </c>
    </row>
    <row r="51" spans="4:15" x14ac:dyDescent="0.2">
      <c r="D51" s="5" t="s">
        <v>3</v>
      </c>
      <c r="E51" s="22">
        <v>0</v>
      </c>
      <c r="F51" s="23">
        <v>1</v>
      </c>
      <c r="H51" s="5" t="s">
        <v>3</v>
      </c>
      <c r="I51" s="22">
        <v>0</v>
      </c>
      <c r="J51" s="23">
        <v>1</v>
      </c>
      <c r="M51" s="28" t="s">
        <v>160</v>
      </c>
      <c r="N51" s="30"/>
    </row>
    <row r="52" spans="4:15" x14ac:dyDescent="0.2">
      <c r="D52" s="5"/>
      <c r="F52" s="6">
        <f>(1+$E$6-G20)/(G19-G20)</f>
        <v>0.50072463768115916</v>
      </c>
      <c r="H52" s="5"/>
      <c r="J52" s="6">
        <f>1-F52</f>
        <v>0.49927536231884084</v>
      </c>
      <c r="M52" s="5" t="s">
        <v>153</v>
      </c>
      <c r="N52" s="6">
        <f>K6</f>
        <v>55</v>
      </c>
    </row>
    <row r="53" spans="4:15" x14ac:dyDescent="0.2">
      <c r="D53" s="13"/>
      <c r="E53" s="14">
        <f>(1+$E$6-E21)/(E20-E21)</f>
        <v>0.50075357950263732</v>
      </c>
      <c r="F53" s="15">
        <f>(1+$E$6-G22)/(G21-G22)</f>
        <v>0.50066617683076153</v>
      </c>
      <c r="H53" s="13"/>
      <c r="I53" s="14">
        <f>1-E53</f>
        <v>0.49924642049736268</v>
      </c>
      <c r="J53" s="15">
        <f t="shared" ref="J53" si="2">1-F53</f>
        <v>0.49933382316923847</v>
      </c>
      <c r="M53" s="13" t="s">
        <v>154</v>
      </c>
      <c r="N53" s="15">
        <f>K8-K17</f>
        <v>48.656911479847821</v>
      </c>
    </row>
    <row r="55" spans="4:15" x14ac:dyDescent="0.2">
      <c r="M55" s="28" t="s">
        <v>161</v>
      </c>
      <c r="N55" s="30"/>
    </row>
    <row r="56" spans="4:15" x14ac:dyDescent="0.2">
      <c r="M56" s="5" t="s">
        <v>153</v>
      </c>
      <c r="N56" s="6">
        <f>K6</f>
        <v>55</v>
      </c>
    </row>
    <row r="57" spans="4:15" x14ac:dyDescent="0.2">
      <c r="D57" s="2" t="s">
        <v>131</v>
      </c>
      <c r="E57" s="3" t="s">
        <v>132</v>
      </c>
      <c r="F57" s="4"/>
      <c r="M57" s="13" t="s">
        <v>154</v>
      </c>
      <c r="N57" s="15">
        <f>K17-K8</f>
        <v>-48.656911479847821</v>
      </c>
    </row>
    <row r="58" spans="4:15" x14ac:dyDescent="0.2">
      <c r="D58" s="5" t="s">
        <v>3</v>
      </c>
      <c r="E58" s="22">
        <v>0</v>
      </c>
      <c r="F58" s="23">
        <v>1</v>
      </c>
    </row>
    <row r="59" spans="4:15" x14ac:dyDescent="0.2">
      <c r="D59" s="5"/>
      <c r="F59" s="43">
        <f>IF(AND(G20&lt;(1+$E$6),(1+$E$6)&lt;G19),0,1)</f>
        <v>0</v>
      </c>
      <c r="M59" s="28" t="s">
        <v>162</v>
      </c>
      <c r="N59" s="30"/>
    </row>
    <row r="60" spans="4:15" x14ac:dyDescent="0.2">
      <c r="D60" s="13"/>
      <c r="E60" s="47">
        <f>IF(AND(E21&lt;(1+$E$6),(1+$E$6)&lt;E20),0,1)</f>
        <v>0</v>
      </c>
      <c r="F60" s="44">
        <f>IF(AND(G22&lt;(1+$E$6),(1+$E$6)&lt;G21),0,1)</f>
        <v>0</v>
      </c>
      <c r="M60" s="5" t="s">
        <v>155</v>
      </c>
      <c r="N60" s="6">
        <f>K6</f>
        <v>55</v>
      </c>
      <c r="O60" t="s">
        <v>157</v>
      </c>
    </row>
    <row r="61" spans="4:15" x14ac:dyDescent="0.2">
      <c r="D61" t="s">
        <v>133</v>
      </c>
      <c r="M61" s="5" t="s">
        <v>156</v>
      </c>
      <c r="N61" s="6">
        <f>K22</f>
        <v>60</v>
      </c>
      <c r="O61" t="s">
        <v>158</v>
      </c>
    </row>
    <row r="62" spans="4:15" x14ac:dyDescent="0.2">
      <c r="M62" s="13" t="s">
        <v>154</v>
      </c>
      <c r="N62" s="15">
        <f>K8-K24</f>
        <v>48.46375764400949</v>
      </c>
    </row>
    <row r="64" spans="4:15" x14ac:dyDescent="0.2">
      <c r="M64" s="28" t="s">
        <v>163</v>
      </c>
      <c r="N64" s="30"/>
    </row>
    <row r="65" spans="13:15" x14ac:dyDescent="0.2">
      <c r="M65" s="5" t="s">
        <v>155</v>
      </c>
      <c r="N65" s="6">
        <f>K22</f>
        <v>60</v>
      </c>
      <c r="O65" t="s">
        <v>158</v>
      </c>
    </row>
    <row r="66" spans="13:15" x14ac:dyDescent="0.2">
      <c r="M66" s="5" t="s">
        <v>156</v>
      </c>
      <c r="N66" s="6">
        <f>K6</f>
        <v>55</v>
      </c>
      <c r="O66" t="s">
        <v>157</v>
      </c>
    </row>
    <row r="67" spans="13:15" x14ac:dyDescent="0.2">
      <c r="M67" s="13" t="s">
        <v>154</v>
      </c>
      <c r="N67" s="15">
        <f>K24-K8</f>
        <v>-48.46375764400949</v>
      </c>
    </row>
    <row r="68" spans="13:15" x14ac:dyDescent="0.2">
      <c r="M68" s="46" t="s">
        <v>164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377E-8098-1A4A-84F3-B3C6DF233EB1}">
  <dimension ref="D5:AK87"/>
  <sheetViews>
    <sheetView topLeftCell="C1" zoomScale="75" workbookViewId="0">
      <selection activeCell="AC19" sqref="AC19"/>
    </sheetView>
  </sheetViews>
  <sheetFormatPr baseColWidth="10" defaultRowHeight="16" x14ac:dyDescent="0.2"/>
  <sheetData>
    <row r="5" spans="4:36" x14ac:dyDescent="0.2">
      <c r="D5" s="31" t="s">
        <v>51</v>
      </c>
      <c r="E5" s="32"/>
      <c r="F5" s="32"/>
      <c r="G5" s="32"/>
      <c r="H5" s="33"/>
      <c r="K5" s="31" t="s">
        <v>49</v>
      </c>
      <c r="L5" s="33"/>
      <c r="N5" s="28" t="s">
        <v>62</v>
      </c>
      <c r="O5" s="29"/>
      <c r="P5" s="29"/>
      <c r="Q5" s="29"/>
      <c r="R5" s="30"/>
      <c r="V5" s="31" t="s">
        <v>137</v>
      </c>
      <c r="W5" s="33"/>
      <c r="Y5" s="28" t="s">
        <v>104</v>
      </c>
      <c r="Z5" s="29"/>
      <c r="AA5" s="29"/>
      <c r="AB5" s="29"/>
      <c r="AC5" s="30"/>
      <c r="AF5" s="31" t="s">
        <v>223</v>
      </c>
      <c r="AG5" s="32"/>
      <c r="AH5" s="32"/>
      <c r="AI5" s="32"/>
      <c r="AJ5" s="33"/>
    </row>
    <row r="6" spans="4:36" x14ac:dyDescent="0.2">
      <c r="D6" s="5" t="s">
        <v>50</v>
      </c>
      <c r="E6" s="18">
        <v>2.0201E-2</v>
      </c>
      <c r="H6" s="6"/>
      <c r="K6" s="5" t="s">
        <v>55</v>
      </c>
      <c r="L6" s="18">
        <v>55</v>
      </c>
      <c r="N6" s="2" t="s">
        <v>3</v>
      </c>
      <c r="O6" s="45">
        <v>0</v>
      </c>
      <c r="P6" s="45">
        <v>1</v>
      </c>
      <c r="Q6" s="45">
        <v>2</v>
      </c>
      <c r="R6" s="41">
        <v>3</v>
      </c>
      <c r="U6" s="46" t="s">
        <v>107</v>
      </c>
      <c r="V6" s="5" t="s">
        <v>55</v>
      </c>
      <c r="W6" s="18">
        <v>130</v>
      </c>
      <c r="Y6" s="2" t="s">
        <v>3</v>
      </c>
      <c r="Z6" s="45">
        <v>0</v>
      </c>
      <c r="AA6" s="45">
        <v>1</v>
      </c>
      <c r="AB6" s="45">
        <v>2</v>
      </c>
      <c r="AC6" s="41">
        <v>3</v>
      </c>
      <c r="AF6" s="5" t="s">
        <v>3</v>
      </c>
      <c r="AG6" s="22">
        <v>0</v>
      </c>
      <c r="AH6" s="22">
        <v>1</v>
      </c>
      <c r="AI6" s="22">
        <v>2</v>
      </c>
      <c r="AJ6" s="23">
        <v>3</v>
      </c>
    </row>
    <row r="7" spans="4:36" x14ac:dyDescent="0.2">
      <c r="D7" s="48" t="s">
        <v>52</v>
      </c>
      <c r="E7" s="43">
        <f>F14/E15</f>
        <v>1.1000000000000001</v>
      </c>
      <c r="H7" s="6"/>
      <c r="K7" s="5" t="s">
        <v>56</v>
      </c>
      <c r="L7" s="19">
        <v>3</v>
      </c>
      <c r="N7" s="5"/>
      <c r="R7" s="6">
        <f>MAX(H12-$L$6,0)</f>
        <v>78.099999999999994</v>
      </c>
      <c r="V7" s="5" t="s">
        <v>56</v>
      </c>
      <c r="W7" s="19">
        <v>3</v>
      </c>
      <c r="Y7" s="5"/>
      <c r="AC7" s="6">
        <f>MAX(H12-$W$6,0)</f>
        <v>3.0999999999999943</v>
      </c>
      <c r="AF7" s="5"/>
      <c r="AJ7" s="6">
        <f>H12</f>
        <v>133.1</v>
      </c>
    </row>
    <row r="8" spans="4:36" x14ac:dyDescent="0.2">
      <c r="D8" s="48" t="s">
        <v>53</v>
      </c>
      <c r="E8" s="43">
        <f>F15/E15</f>
        <v>0.9</v>
      </c>
      <c r="H8" s="6"/>
      <c r="K8" s="13" t="s">
        <v>68</v>
      </c>
      <c r="L8" s="15">
        <f>O10</f>
        <v>48.202898861929455</v>
      </c>
      <c r="N8" s="5"/>
      <c r="Q8">
        <f>(G71*R7+L71*R8)/(1+$E$6)</f>
        <v>67.0890549999461</v>
      </c>
      <c r="R8" s="6">
        <f t="shared" ref="R8:R10" si="0">MAX(H13-$L$6,0)</f>
        <v>53.900000000000006</v>
      </c>
      <c r="V8" s="5" t="s">
        <v>68</v>
      </c>
      <c r="W8" s="6">
        <f>Z10</f>
        <v>0.63378026888100214</v>
      </c>
      <c r="Y8" s="5"/>
      <c r="AB8">
        <f>MAX(((G71*AC7+L71*AC8)/(1+$E$6)),0,(G13-$W$6))</f>
        <v>1.8262239499863229</v>
      </c>
      <c r="AC8" s="6">
        <f t="shared" ref="AC8:AC9" si="1">MAX(H13-$W$6,0)</f>
        <v>0</v>
      </c>
      <c r="AF8" s="5"/>
      <c r="AI8">
        <f>AJ7*$E$9+AJ8*$E$10</f>
        <v>123.44432099999997</v>
      </c>
      <c r="AJ8" s="6">
        <f t="shared" ref="AJ8:AJ10" si="2">H13</f>
        <v>108.9</v>
      </c>
    </row>
    <row r="9" spans="4:36" x14ac:dyDescent="0.2">
      <c r="D9" s="48" t="s">
        <v>60</v>
      </c>
      <c r="E9" s="43">
        <f>(1+E6-E8)/(E7-E8)</f>
        <v>0.60100499999999923</v>
      </c>
      <c r="H9" s="6"/>
      <c r="N9" s="5"/>
      <c r="P9">
        <f>(F72*Q8+K72*Q9)/(1+$E$6)</f>
        <v>57.1565456218393</v>
      </c>
      <c r="Q9">
        <f t="shared" ref="Q9:Q10" si="3">(G72*R8+L72*R9)/(1+$E$6)</f>
        <v>45.089054999946086</v>
      </c>
      <c r="R9" s="6">
        <f>MAX(H14-$L$6,0)</f>
        <v>34.099999999999994</v>
      </c>
      <c r="V9" s="3"/>
      <c r="W9" s="3"/>
      <c r="Y9" s="5"/>
      <c r="AA9">
        <f t="shared" ref="AA9:AA10" si="4">MAX(((F72*AB8+K72*AB9)/(1+$E$6)),0,(F14-$W$6))</f>
        <v>1.0758367469366612</v>
      </c>
      <c r="AB9">
        <f t="shared" ref="AB9:AB10" si="5">MAX(((G72*AC8+L72*AC9)/(1+$E$6)),0,(G14-$W$6))</f>
        <v>0</v>
      </c>
      <c r="AC9" s="6">
        <f t="shared" si="1"/>
        <v>0</v>
      </c>
      <c r="AF9" s="5"/>
      <c r="AH9">
        <f>AI8*$E$9+AI9*$E$10</f>
        <v>114.48910884410995</v>
      </c>
      <c r="AI9">
        <f>AJ8*$E$9+AJ9*$E$10</f>
        <v>100.99989899999997</v>
      </c>
      <c r="AJ9" s="6">
        <f t="shared" si="2"/>
        <v>89.1</v>
      </c>
    </row>
    <row r="10" spans="4:36" x14ac:dyDescent="0.2">
      <c r="D10" s="49" t="s">
        <v>54</v>
      </c>
      <c r="E10" s="44">
        <f>1-E9</f>
        <v>0.39899500000000077</v>
      </c>
      <c r="H10" s="6"/>
      <c r="N10" s="13"/>
      <c r="O10" s="14">
        <f>(E73*P9+J73*P10)/(1+$E$6)</f>
        <v>48.202898861929455</v>
      </c>
      <c r="P10" s="14">
        <f t="shared" ref="P10" si="6">(F73*Q9+K73*Q10)/(1+$E$6)</f>
        <v>37.1565456218393</v>
      </c>
      <c r="Q10" s="14">
        <f t="shared" si="3"/>
        <v>27.089054999946089</v>
      </c>
      <c r="R10" s="15">
        <f t="shared" si="0"/>
        <v>17.900000000000006</v>
      </c>
      <c r="Y10" s="13"/>
      <c r="Z10" s="14">
        <f t="shared" ref="Z10" si="7">MAX(((E73*AA9+J73*AA10)/(1+$E$6)),0,(E15-$W$6))</f>
        <v>0.63378026888100214</v>
      </c>
      <c r="AA10" s="14">
        <f t="shared" si="4"/>
        <v>0</v>
      </c>
      <c r="AB10" s="14">
        <f t="shared" si="5"/>
        <v>0</v>
      </c>
      <c r="AC10" s="15">
        <f>MAX(H15-$W$6,0)</f>
        <v>0</v>
      </c>
      <c r="AF10" s="13"/>
      <c r="AG10" s="14">
        <f>AH9*$E$9+AH10*$E$10</f>
        <v>106.183548483518</v>
      </c>
      <c r="AH10" s="14">
        <f>AI9*$E$9+AI10*$E$10</f>
        <v>93.672907236089969</v>
      </c>
      <c r="AI10" s="14">
        <f>AJ9*$E$9+AJ10*$E$10</f>
        <v>82.636280999999983</v>
      </c>
      <c r="AJ10" s="15">
        <f t="shared" si="2"/>
        <v>72.900000000000006</v>
      </c>
    </row>
    <row r="11" spans="4:36" x14ac:dyDescent="0.2">
      <c r="D11" s="5" t="s">
        <v>3</v>
      </c>
      <c r="E11" s="22">
        <v>0</v>
      </c>
      <c r="F11" s="22">
        <v>1</v>
      </c>
      <c r="G11" s="22">
        <v>2</v>
      </c>
      <c r="H11" s="23">
        <v>3</v>
      </c>
      <c r="AC11" s="6"/>
    </row>
    <row r="12" spans="4:36" x14ac:dyDescent="0.2">
      <c r="D12" s="5"/>
      <c r="H12" s="18">
        <v>133.1</v>
      </c>
    </row>
    <row r="13" spans="4:36" x14ac:dyDescent="0.2">
      <c r="D13" s="5"/>
      <c r="G13" s="7">
        <v>121</v>
      </c>
      <c r="H13" s="18">
        <v>108.9</v>
      </c>
      <c r="AF13" s="31" t="s">
        <v>225</v>
      </c>
      <c r="AG13" s="32"/>
      <c r="AH13" s="32"/>
      <c r="AI13" s="32"/>
      <c r="AJ13" s="33"/>
    </row>
    <row r="14" spans="4:36" x14ac:dyDescent="0.2">
      <c r="D14" s="5"/>
      <c r="F14" s="7">
        <v>110</v>
      </c>
      <c r="G14" s="7">
        <v>99</v>
      </c>
      <c r="H14" s="18">
        <v>89.1</v>
      </c>
      <c r="V14" s="31" t="s">
        <v>102</v>
      </c>
      <c r="W14" s="33"/>
      <c r="Y14" s="28" t="s">
        <v>105</v>
      </c>
      <c r="Z14" s="29"/>
      <c r="AA14" s="29"/>
      <c r="AB14" s="29"/>
      <c r="AC14" s="30"/>
      <c r="AF14" s="5" t="s">
        <v>3</v>
      </c>
      <c r="AG14" s="22">
        <v>0</v>
      </c>
      <c r="AH14" s="22">
        <v>1</v>
      </c>
      <c r="AI14" s="22">
        <v>2</v>
      </c>
      <c r="AJ14" s="23">
        <v>3</v>
      </c>
    </row>
    <row r="15" spans="4:36" x14ac:dyDescent="0.2">
      <c r="D15" s="13"/>
      <c r="E15" s="39">
        <v>100</v>
      </c>
      <c r="F15" s="39">
        <v>90</v>
      </c>
      <c r="G15" s="39">
        <v>81</v>
      </c>
      <c r="H15" s="36">
        <v>72.900000000000006</v>
      </c>
      <c r="K15" s="31" t="s">
        <v>61</v>
      </c>
      <c r="L15" s="33"/>
      <c r="N15" s="28" t="s">
        <v>67</v>
      </c>
      <c r="O15" s="29"/>
      <c r="P15" s="29"/>
      <c r="Q15" s="29"/>
      <c r="R15" s="30"/>
      <c r="V15" s="51" t="s">
        <v>153</v>
      </c>
      <c r="W15" s="6">
        <f>W6</f>
        <v>130</v>
      </c>
      <c r="Y15" s="2" t="s">
        <v>3</v>
      </c>
      <c r="Z15" s="45">
        <v>0</v>
      </c>
      <c r="AA15" s="45">
        <v>1</v>
      </c>
      <c r="AB15" s="45">
        <v>2</v>
      </c>
      <c r="AC15" s="41">
        <v>3</v>
      </c>
      <c r="AE15" s="68"/>
      <c r="AF15" s="5"/>
      <c r="AJ15" s="64">
        <f>AJ7-AI8</f>
        <v>9.6556790000000206</v>
      </c>
    </row>
    <row r="16" spans="4:36" x14ac:dyDescent="0.2">
      <c r="K16" s="51" t="s">
        <v>153</v>
      </c>
      <c r="L16" s="6">
        <f>L6</f>
        <v>55</v>
      </c>
      <c r="N16" s="2" t="s">
        <v>3</v>
      </c>
      <c r="O16" s="45">
        <v>0</v>
      </c>
      <c r="P16" s="45">
        <v>1</v>
      </c>
      <c r="Q16" s="45">
        <v>2</v>
      </c>
      <c r="R16" s="41">
        <v>3</v>
      </c>
      <c r="V16" s="5" t="s">
        <v>69</v>
      </c>
      <c r="W16" s="6">
        <f>W7</f>
        <v>3</v>
      </c>
      <c r="Y16" s="5"/>
      <c r="AC16" s="6">
        <f>MAX($W$6-H12,0)</f>
        <v>0</v>
      </c>
      <c r="AF16" s="5"/>
      <c r="AI16" s="63">
        <f>AI8-AH9</f>
        <v>8.955212155890024</v>
      </c>
      <c r="AJ16" s="67">
        <f>AJ8-AI8</f>
        <v>-14.544320999999968</v>
      </c>
    </row>
    <row r="17" spans="4:37" x14ac:dyDescent="0.2">
      <c r="K17" s="5" t="s">
        <v>69</v>
      </c>
      <c r="L17" s="6">
        <f>L7</f>
        <v>3</v>
      </c>
      <c r="N17" s="5"/>
      <c r="R17" s="6">
        <f>MAX($L$6-H12,0)</f>
        <v>0</v>
      </c>
      <c r="V17" s="13" t="s">
        <v>91</v>
      </c>
      <c r="W17" s="15">
        <f>Z19</f>
        <v>30</v>
      </c>
      <c r="Y17" s="5"/>
      <c r="AB17">
        <f>MAX(((G71*AC16+L71*AC17)/(1+$E$6)),0,($W$6-G13))</f>
        <v>9</v>
      </c>
      <c r="AC17" s="6">
        <f t="shared" ref="AC17:AC19" si="8">MAX($W$6-H13,0)</f>
        <v>21.099999999999994</v>
      </c>
      <c r="AF17" s="5"/>
      <c r="AH17" s="63">
        <f>AH9-AG10</f>
        <v>8.3055603605919543</v>
      </c>
      <c r="AJ17" s="64">
        <f>AJ8-AI9</f>
        <v>7.9001010000000349</v>
      </c>
      <c r="AK17" s="46" t="s">
        <v>227</v>
      </c>
    </row>
    <row r="18" spans="4:37" x14ac:dyDescent="0.2">
      <c r="D18" s="31" t="s">
        <v>66</v>
      </c>
      <c r="E18" s="32"/>
      <c r="F18" s="32"/>
      <c r="G18" s="32"/>
      <c r="H18" s="32"/>
      <c r="I18" s="33"/>
      <c r="K18" s="13" t="s">
        <v>91</v>
      </c>
      <c r="L18" s="15">
        <f>O20</f>
        <v>0</v>
      </c>
      <c r="N18" s="5"/>
      <c r="Q18">
        <f t="shared" ref="Q18:Q20" si="9">(G71*R17+L71*R18)/(1+$E$6)</f>
        <v>0</v>
      </c>
      <c r="R18" s="6">
        <f t="shared" ref="R18:R20" si="10">MAX($L$6-H13,0)</f>
        <v>0</v>
      </c>
      <c r="Y18" s="5"/>
      <c r="AA18">
        <f t="shared" ref="Z18:AB19" si="11">MAX(((F72*AB17+K72*AB18)/(1+$E$6)),0,($W$6-F14))</f>
        <v>20</v>
      </c>
      <c r="AB18">
        <f t="shared" si="11"/>
        <v>31</v>
      </c>
      <c r="AC18" s="6">
        <f>MAX($W$6-H14,0)</f>
        <v>40.900000000000006</v>
      </c>
      <c r="AF18" s="5"/>
      <c r="AI18" s="61">
        <f>AI9-AH9</f>
        <v>-13.489209844109979</v>
      </c>
      <c r="AJ18" s="67">
        <f>AJ9-AI9</f>
        <v>-11.899898999999976</v>
      </c>
      <c r="AK18" s="46" t="s">
        <v>228</v>
      </c>
    </row>
    <row r="19" spans="4:37" x14ac:dyDescent="0.2">
      <c r="D19" s="5" t="s">
        <v>63</v>
      </c>
      <c r="E19" t="s">
        <v>64</v>
      </c>
      <c r="F19" t="s">
        <v>63</v>
      </c>
      <c r="G19" t="s">
        <v>65</v>
      </c>
      <c r="H19" t="s">
        <v>63</v>
      </c>
      <c r="I19" s="6" t="s">
        <v>77</v>
      </c>
      <c r="N19" s="5"/>
      <c r="P19">
        <f t="shared" ref="P19:P20" si="12">(F72*Q18+K72*Q19)/(1+$E$6)</f>
        <v>0</v>
      </c>
      <c r="Q19">
        <f>(G72*R18+L72*R19)/(1+$E$6)</f>
        <v>0</v>
      </c>
      <c r="R19" s="6">
        <f t="shared" si="10"/>
        <v>0</v>
      </c>
      <c r="Y19" s="13"/>
      <c r="Z19" s="14">
        <f t="shared" si="11"/>
        <v>30</v>
      </c>
      <c r="AA19" s="14">
        <f t="shared" si="11"/>
        <v>40</v>
      </c>
      <c r="AB19" s="14">
        <f t="shared" si="11"/>
        <v>49</v>
      </c>
      <c r="AC19" s="15">
        <f t="shared" si="8"/>
        <v>57.099999999999994</v>
      </c>
      <c r="AF19" s="5"/>
      <c r="AG19" s="22">
        <v>0</v>
      </c>
      <c r="AJ19" s="64">
        <f>AJ8-AI9</f>
        <v>7.9001010000000349</v>
      </c>
      <c r="AK19" s="46" t="s">
        <v>229</v>
      </c>
    </row>
    <row r="20" spans="4:37" x14ac:dyDescent="0.2">
      <c r="D20" s="5"/>
      <c r="H20" s="20" t="s">
        <v>1</v>
      </c>
      <c r="I20" s="21">
        <f>H12/G13</f>
        <v>1.0999999999999999</v>
      </c>
      <c r="N20" s="13"/>
      <c r="O20" s="14">
        <f>(E73*P19+J73*P20)/(1+$E$6)</f>
        <v>0</v>
      </c>
      <c r="P20" s="14">
        <f t="shared" si="12"/>
        <v>0</v>
      </c>
      <c r="Q20" s="14">
        <f t="shared" si="9"/>
        <v>0</v>
      </c>
      <c r="R20" s="15">
        <f t="shared" si="10"/>
        <v>0</v>
      </c>
      <c r="AF20" s="5"/>
      <c r="AI20" s="63">
        <f>AI9-AH10</f>
        <v>7.3269917639100015</v>
      </c>
      <c r="AJ20" s="67">
        <f>AJ9-AI9</f>
        <v>-11.899898999999976</v>
      </c>
      <c r="AK20" s="46" t="s">
        <v>230</v>
      </c>
    </row>
    <row r="21" spans="4:37" x14ac:dyDescent="0.2">
      <c r="D21" s="5"/>
      <c r="F21" s="20" t="s">
        <v>1</v>
      </c>
      <c r="G21" s="20">
        <f>G13/F14</f>
        <v>1.1000000000000001</v>
      </c>
      <c r="H21" s="22" t="s">
        <v>2</v>
      </c>
      <c r="I21" s="23">
        <f>H13/G13</f>
        <v>0.9</v>
      </c>
      <c r="V21" s="31" t="s">
        <v>103</v>
      </c>
      <c r="W21" s="33"/>
      <c r="Y21" s="28" t="s">
        <v>106</v>
      </c>
      <c r="Z21" s="29"/>
      <c r="AA21" s="29"/>
      <c r="AB21" s="29"/>
      <c r="AC21" s="30"/>
      <c r="AF21" s="5"/>
      <c r="AH21" s="61">
        <f>AH10-AG10</f>
        <v>-12.510641247428026</v>
      </c>
      <c r="AJ21" s="64">
        <f>AJ9-AI10</f>
        <v>6.4637190000000118</v>
      </c>
    </row>
    <row r="22" spans="4:37" x14ac:dyDescent="0.2">
      <c r="D22" s="27" t="s">
        <v>1</v>
      </c>
      <c r="E22" s="20">
        <f>F14/E15</f>
        <v>1.1000000000000001</v>
      </c>
      <c r="F22" s="22" t="s">
        <v>2</v>
      </c>
      <c r="G22" s="22">
        <f>G14/F14</f>
        <v>0.9</v>
      </c>
      <c r="H22" s="20" t="s">
        <v>1</v>
      </c>
      <c r="I22" s="21">
        <f>H13/G14</f>
        <v>1.1000000000000001</v>
      </c>
      <c r="K22" s="31" t="s">
        <v>70</v>
      </c>
      <c r="L22" s="33"/>
      <c r="N22" s="28" t="s">
        <v>71</v>
      </c>
      <c r="O22" s="29"/>
      <c r="P22" s="29"/>
      <c r="Q22" s="29"/>
      <c r="R22" s="30"/>
      <c r="U22" s="46" t="s">
        <v>107</v>
      </c>
      <c r="V22" s="51" t="s">
        <v>153</v>
      </c>
      <c r="W22" s="18">
        <v>60</v>
      </c>
      <c r="Y22" s="2" t="s">
        <v>3</v>
      </c>
      <c r="Z22" s="45">
        <v>0</v>
      </c>
      <c r="AA22" s="45">
        <v>1</v>
      </c>
      <c r="AB22" s="45">
        <v>2</v>
      </c>
      <c r="AC22" s="41">
        <v>3</v>
      </c>
      <c r="AF22" s="13"/>
      <c r="AG22" s="14"/>
      <c r="AH22" s="14"/>
      <c r="AI22" s="65">
        <f>AI10-AH10</f>
        <v>-11.036626236089987</v>
      </c>
      <c r="AJ22" s="62">
        <f>AJ10-AI10</f>
        <v>-9.7362809999999769</v>
      </c>
    </row>
    <row r="23" spans="4:37" x14ac:dyDescent="0.2">
      <c r="D23" s="25" t="s">
        <v>2</v>
      </c>
      <c r="E23" s="22">
        <f>F15/E15</f>
        <v>0.9</v>
      </c>
      <c r="F23" s="20" t="s">
        <v>1</v>
      </c>
      <c r="G23" s="20">
        <f>G14/F15</f>
        <v>1.1000000000000001</v>
      </c>
      <c r="H23" s="22" t="s">
        <v>2</v>
      </c>
      <c r="I23" s="23">
        <f>H14/G14</f>
        <v>0.89999999999999991</v>
      </c>
      <c r="K23" s="51" t="s">
        <v>153</v>
      </c>
      <c r="L23" s="18">
        <v>60</v>
      </c>
      <c r="N23" s="2" t="s">
        <v>3</v>
      </c>
      <c r="O23" s="45">
        <v>0</v>
      </c>
      <c r="P23" s="45">
        <v>1</v>
      </c>
      <c r="Q23" s="45">
        <v>2</v>
      </c>
      <c r="R23" s="41">
        <v>3</v>
      </c>
      <c r="V23" s="5" t="s">
        <v>69</v>
      </c>
      <c r="W23" s="19">
        <v>3</v>
      </c>
      <c r="Y23" s="5"/>
      <c r="AC23" s="6">
        <f>MAX($W$22-H12,0)</f>
        <v>0</v>
      </c>
    </row>
    <row r="24" spans="4:37" x14ac:dyDescent="0.2">
      <c r="D24" s="5"/>
      <c r="F24" s="22" t="s">
        <v>2</v>
      </c>
      <c r="G24" s="22">
        <f>G15/F15</f>
        <v>0.9</v>
      </c>
      <c r="H24" s="20" t="s">
        <v>1</v>
      </c>
      <c r="I24" s="21">
        <f>H14/G15</f>
        <v>1.0999999999999999</v>
      </c>
      <c r="K24" s="5" t="s">
        <v>69</v>
      </c>
      <c r="L24" s="19">
        <v>3</v>
      </c>
      <c r="N24" s="5"/>
      <c r="R24" s="6">
        <f>MAX($L$23-H12,0)</f>
        <v>0</v>
      </c>
      <c r="V24" s="13" t="s">
        <v>91</v>
      </c>
      <c r="W24" s="15">
        <f>Z26</f>
        <v>0</v>
      </c>
      <c r="Y24" s="5"/>
      <c r="AB24">
        <f>MAX(((G71*AC23+L71*AC24)/(1+$E$6)),0,($W$22-G13))</f>
        <v>0</v>
      </c>
      <c r="AC24" s="6">
        <f t="shared" ref="AC24:AC26" si="13">MAX($W$22-H13,0)</f>
        <v>0</v>
      </c>
    </row>
    <row r="25" spans="4:37" x14ac:dyDescent="0.2">
      <c r="D25" s="13"/>
      <c r="E25" s="14"/>
      <c r="F25" s="14"/>
      <c r="G25" s="14"/>
      <c r="H25" s="26" t="s">
        <v>2</v>
      </c>
      <c r="I25" s="24">
        <f>H15/G15</f>
        <v>0.9</v>
      </c>
      <c r="K25" s="13" t="s">
        <v>91</v>
      </c>
      <c r="L25" s="15">
        <f>O27</f>
        <v>0</v>
      </c>
      <c r="N25" s="5"/>
      <c r="Q25">
        <f>(G71*R24+L71*R25)/(1+$E$6)</f>
        <v>0</v>
      </c>
      <c r="R25" s="6">
        <f>MAX($L$23-H13,0)</f>
        <v>0</v>
      </c>
      <c r="Y25" s="5"/>
      <c r="AA25">
        <f t="shared" ref="Z25:AB26" si="14">MAX(((F72*AB24+K72*AB25)/(1+$E$6)),0,($W$22-F14))</f>
        <v>0</v>
      </c>
      <c r="AB25">
        <f t="shared" si="14"/>
        <v>0</v>
      </c>
      <c r="AC25" s="6">
        <f t="shared" si="13"/>
        <v>0</v>
      </c>
      <c r="AF25" s="31" t="s">
        <v>226</v>
      </c>
      <c r="AG25" s="32"/>
      <c r="AH25" s="32"/>
      <c r="AI25" s="32"/>
      <c r="AJ25" s="33"/>
    </row>
    <row r="26" spans="4:37" x14ac:dyDescent="0.2">
      <c r="N26" s="5"/>
      <c r="P26">
        <f t="shared" ref="P26" si="15">(F72*Q25+K72*Q26)/(1+$E$6)</f>
        <v>0</v>
      </c>
      <c r="Q26">
        <f>(G72*R25+L72*R26)/(1+$E$6)</f>
        <v>0</v>
      </c>
      <c r="R26" s="6">
        <f t="shared" ref="R26:R27" si="16">MAX($L$23-H14,0)</f>
        <v>0</v>
      </c>
      <c r="Y26" s="13"/>
      <c r="Z26" s="14">
        <f t="shared" si="14"/>
        <v>0</v>
      </c>
      <c r="AA26" s="14">
        <f t="shared" si="14"/>
        <v>0</v>
      </c>
      <c r="AB26" s="14">
        <f t="shared" si="14"/>
        <v>0</v>
      </c>
      <c r="AC26" s="15">
        <f t="shared" si="13"/>
        <v>0</v>
      </c>
      <c r="AF26" s="5" t="s">
        <v>3</v>
      </c>
      <c r="AG26" s="22">
        <v>0</v>
      </c>
      <c r="AH26" s="22">
        <v>1</v>
      </c>
      <c r="AI26" s="22">
        <v>2</v>
      </c>
      <c r="AJ26" s="23">
        <v>3</v>
      </c>
    </row>
    <row r="27" spans="4:37" x14ac:dyDescent="0.2">
      <c r="N27" s="13"/>
      <c r="O27" s="14">
        <f>(E73*P26+J73*P27)/(1+$E$6)</f>
        <v>0</v>
      </c>
      <c r="P27" s="14">
        <f t="shared" ref="P27:Q27" si="17">(F73*Q26+K73*Q27)/(1+$E$6)</f>
        <v>0</v>
      </c>
      <c r="Q27" s="14">
        <f t="shared" si="17"/>
        <v>0</v>
      </c>
      <c r="R27" s="15">
        <f t="shared" si="16"/>
        <v>0</v>
      </c>
      <c r="AF27" s="5"/>
      <c r="AJ27" s="64">
        <f>-AJ15</f>
        <v>-9.6556790000000206</v>
      </c>
    </row>
    <row r="28" spans="4:37" x14ac:dyDescent="0.2">
      <c r="AF28" s="5"/>
      <c r="AI28" s="63">
        <f>-AI16</f>
        <v>-8.955212155890024</v>
      </c>
      <c r="AJ28" s="67">
        <f>-AJ16</f>
        <v>14.544320999999968</v>
      </c>
    </row>
    <row r="29" spans="4:37" x14ac:dyDescent="0.2">
      <c r="D29" s="31" t="s">
        <v>74</v>
      </c>
      <c r="E29" s="32"/>
      <c r="F29" s="32"/>
      <c r="G29" s="33"/>
      <c r="H29" t="s">
        <v>165</v>
      </c>
      <c r="AF29" s="5"/>
      <c r="AH29" s="63">
        <f>-AH17</f>
        <v>-8.3055603605919543</v>
      </c>
      <c r="AJ29" s="64">
        <f t="shared" ref="AJ29:AJ34" si="18">-AJ17</f>
        <v>-7.9001010000000349</v>
      </c>
      <c r="AK29" s="46" t="s">
        <v>227</v>
      </c>
    </row>
    <row r="30" spans="4:37" x14ac:dyDescent="0.2">
      <c r="D30" s="5" t="s">
        <v>73</v>
      </c>
      <c r="E30">
        <f>L8</f>
        <v>48.202898861929455</v>
      </c>
      <c r="F30" t="s">
        <v>75</v>
      </c>
      <c r="G30" s="43">
        <f>-E15+(1/((1+E6)^L7))*L6+E30</f>
        <v>0</v>
      </c>
      <c r="H30">
        <f>IF(AND(E30&lt;=G31+0.00001,E30&gt;=G31-0.0000001),0,1)</f>
        <v>0</v>
      </c>
      <c r="AF30" s="5"/>
      <c r="AI30" s="61">
        <f>-AI18</f>
        <v>13.489209844109979</v>
      </c>
      <c r="AJ30" s="67">
        <f t="shared" si="18"/>
        <v>11.899898999999976</v>
      </c>
      <c r="AK30" s="46" t="s">
        <v>228</v>
      </c>
    </row>
    <row r="31" spans="4:37" x14ac:dyDescent="0.2">
      <c r="D31" s="13" t="s">
        <v>72</v>
      </c>
      <c r="E31" s="14">
        <f>L18</f>
        <v>0</v>
      </c>
      <c r="F31" s="14" t="s">
        <v>76</v>
      </c>
      <c r="G31" s="44">
        <f>E15-(1/((1+E6)^L7))*L6+E31</f>
        <v>48.202898861929462</v>
      </c>
      <c r="H31">
        <f>IF(AND(E31&lt;=G30+0.00001,E31&gt;=G30-0.0000001),0,1)</f>
        <v>0</v>
      </c>
      <c r="AF31" s="5"/>
      <c r="AG31" s="22">
        <v>0</v>
      </c>
      <c r="AJ31" s="64">
        <f t="shared" si="18"/>
        <v>-7.9001010000000349</v>
      </c>
      <c r="AK31" s="46" t="s">
        <v>229</v>
      </c>
    </row>
    <row r="32" spans="4:37" x14ac:dyDescent="0.2">
      <c r="AF32" s="5"/>
      <c r="AI32" s="63">
        <f>-AI20</f>
        <v>-7.3269917639100015</v>
      </c>
      <c r="AJ32" s="67">
        <f t="shared" si="18"/>
        <v>11.899898999999976</v>
      </c>
      <c r="AK32" s="46" t="s">
        <v>230</v>
      </c>
    </row>
    <row r="33" spans="4:36" x14ac:dyDescent="0.2">
      <c r="AF33" s="5"/>
      <c r="AH33" s="61">
        <f>-AH21</f>
        <v>12.510641247428026</v>
      </c>
      <c r="AJ33" s="64">
        <f t="shared" si="18"/>
        <v>-6.4637190000000118</v>
      </c>
    </row>
    <row r="34" spans="4:36" x14ac:dyDescent="0.2">
      <c r="D34" t="s">
        <v>99</v>
      </c>
      <c r="H34" t="s">
        <v>100</v>
      </c>
      <c r="L34" t="s">
        <v>101</v>
      </c>
      <c r="Q34" t="s">
        <v>109</v>
      </c>
      <c r="U34" t="s">
        <v>110</v>
      </c>
      <c r="Y34" t="s">
        <v>111</v>
      </c>
      <c r="AF34" s="13"/>
      <c r="AG34" s="14"/>
      <c r="AH34" s="14"/>
      <c r="AI34" s="65">
        <f>-AI22</f>
        <v>11.036626236089987</v>
      </c>
      <c r="AJ34" s="62">
        <f t="shared" si="18"/>
        <v>9.7362809999999769</v>
      </c>
    </row>
    <row r="35" spans="4:36" x14ac:dyDescent="0.2">
      <c r="D35" s="28" t="s">
        <v>88</v>
      </c>
      <c r="E35" s="30"/>
      <c r="H35" s="31" t="s">
        <v>89</v>
      </c>
      <c r="I35" s="33"/>
      <c r="L35" s="31" t="s">
        <v>89</v>
      </c>
      <c r="M35" s="33"/>
      <c r="Q35" s="28" t="s">
        <v>88</v>
      </c>
      <c r="R35" s="30"/>
      <c r="U35" s="31" t="s">
        <v>89</v>
      </c>
      <c r="V35" s="33"/>
      <c r="Y35" s="31" t="s">
        <v>98</v>
      </c>
      <c r="Z35" s="33"/>
    </row>
    <row r="36" spans="4:36" x14ac:dyDescent="0.2">
      <c r="D36" s="40" t="s">
        <v>112</v>
      </c>
      <c r="E36" s="41">
        <f>$G$13</f>
        <v>121</v>
      </c>
      <c r="H36" s="40" t="s">
        <v>112</v>
      </c>
      <c r="I36" s="41">
        <f>$G$13</f>
        <v>121</v>
      </c>
      <c r="L36" s="40" t="s">
        <v>112</v>
      </c>
      <c r="M36" s="41">
        <f>$G$13</f>
        <v>121</v>
      </c>
      <c r="Q36" s="40" t="s">
        <v>112</v>
      </c>
      <c r="R36" s="41">
        <f>$G$13</f>
        <v>121</v>
      </c>
      <c r="U36" s="40" t="s">
        <v>112</v>
      </c>
      <c r="V36" s="41">
        <f>$G$13</f>
        <v>121</v>
      </c>
      <c r="Y36" s="40" t="s">
        <v>112</v>
      </c>
      <c r="Z36" s="41">
        <f>$G$13</f>
        <v>121</v>
      </c>
    </row>
    <row r="37" spans="4:36" x14ac:dyDescent="0.2">
      <c r="D37" s="5" t="s">
        <v>78</v>
      </c>
      <c r="E37" s="6">
        <f>($R$7-$R$8)/($H$12-$H$13)</f>
        <v>1</v>
      </c>
      <c r="H37" s="5" t="s">
        <v>78</v>
      </c>
      <c r="I37" s="6">
        <f>($R$17-$R$18)/($H$12-$H$13)</f>
        <v>0</v>
      </c>
      <c r="L37" s="5" t="s">
        <v>78</v>
      </c>
      <c r="M37" s="6">
        <f>($R$24-$R$25)/($H$12-$H$13)</f>
        <v>0</v>
      </c>
      <c r="Q37" s="5" t="s">
        <v>78</v>
      </c>
      <c r="R37" s="6">
        <f>($AC$7-$AC$8)/($H$12-$H$13)</f>
        <v>0.12809917355371883</v>
      </c>
      <c r="U37" s="5" t="s">
        <v>78</v>
      </c>
      <c r="V37" s="6">
        <f>($AC$16-$AC$17)/($H$12-$H$13)</f>
        <v>-0.8719008264462812</v>
      </c>
      <c r="Y37" s="5" t="s">
        <v>78</v>
      </c>
      <c r="Z37" s="6">
        <f>($AC$23-$AC$24)/($H$12-$H$13)</f>
        <v>0</v>
      </c>
    </row>
    <row r="38" spans="4:36" x14ac:dyDescent="0.2">
      <c r="D38" s="5" t="s">
        <v>134</v>
      </c>
      <c r="E38" s="6">
        <f>($R$7-$E$37*$H$12)/(1+$E$6)</f>
        <v>-53.910945000053914</v>
      </c>
      <c r="F38" t="s">
        <v>117</v>
      </c>
      <c r="H38" s="5" t="s">
        <v>134</v>
      </c>
      <c r="I38" s="6">
        <f>($R$17-I$37*$H$12)/(1+$E$6)</f>
        <v>0</v>
      </c>
      <c r="J38" t="s">
        <v>123</v>
      </c>
      <c r="L38" s="5" t="s">
        <v>134</v>
      </c>
      <c r="M38" s="6">
        <f>($R$24-M$37*$H$12)/(1+$E$6)</f>
        <v>0</v>
      </c>
      <c r="N38" t="s">
        <v>123</v>
      </c>
      <c r="Q38" s="5" t="s">
        <v>134</v>
      </c>
      <c r="R38" s="6">
        <f>($AC$7-R$37*$H$12)/(1+$E$6)</f>
        <v>-13.673776050013657</v>
      </c>
      <c r="S38" t="s">
        <v>117</v>
      </c>
      <c r="U38" s="5" t="s">
        <v>134</v>
      </c>
      <c r="V38" s="6">
        <f>($AC$16-V$37*$H$12)/(1+$E$6)</f>
        <v>113.75209395011379</v>
      </c>
      <c r="W38" t="s">
        <v>123</v>
      </c>
      <c r="Y38" s="5" t="s">
        <v>134</v>
      </c>
      <c r="Z38" s="6">
        <f>($AC$23-Z$37*$H$12)/(1+$E$6)</f>
        <v>0</v>
      </c>
      <c r="AA38" t="s">
        <v>123</v>
      </c>
    </row>
    <row r="39" spans="4:36" x14ac:dyDescent="0.2">
      <c r="D39" s="13" t="s">
        <v>134</v>
      </c>
      <c r="E39" s="15">
        <f>($R$8-$E$37*$H$13)/(1+$E$6)</f>
        <v>-53.910945000053914</v>
      </c>
      <c r="F39" t="s">
        <v>119</v>
      </c>
      <c r="H39" s="13" t="s">
        <v>134</v>
      </c>
      <c r="I39" s="15">
        <f>($R$18-I$37*$H$13)/(1+$E$6)</f>
        <v>0</v>
      </c>
      <c r="J39" t="s">
        <v>124</v>
      </c>
      <c r="L39" s="13" t="s">
        <v>134</v>
      </c>
      <c r="M39" s="15">
        <f>($R$25-M$37*$H$13)/(1+$E$6)</f>
        <v>0</v>
      </c>
      <c r="N39" t="s">
        <v>124</v>
      </c>
      <c r="Q39" s="13" t="s">
        <v>134</v>
      </c>
      <c r="R39" s="15">
        <f>($AC$8-R$37*$H$13)/(1+$E$6)</f>
        <v>-13.673776050013657</v>
      </c>
      <c r="S39" t="s">
        <v>119</v>
      </c>
      <c r="U39" s="13" t="s">
        <v>134</v>
      </c>
      <c r="V39" s="15">
        <f>($AC$17-V$37*$H$13)/(1+$E$6)</f>
        <v>113.75209395011379</v>
      </c>
      <c r="W39" t="s">
        <v>124</v>
      </c>
      <c r="Y39" s="13" t="s">
        <v>134</v>
      </c>
      <c r="Z39" s="15">
        <f>($AC$24-Z$37*$H$13)/(1+$E$6)</f>
        <v>0</v>
      </c>
      <c r="AA39" t="s">
        <v>124</v>
      </c>
    </row>
    <row r="40" spans="4:36" x14ac:dyDescent="0.2">
      <c r="D40" s="5"/>
      <c r="E40" s="6"/>
      <c r="H40" s="5"/>
      <c r="I40" s="6"/>
      <c r="L40" s="5"/>
      <c r="M40" s="6"/>
      <c r="Q40" s="5"/>
      <c r="R40" s="6"/>
      <c r="U40" s="5"/>
      <c r="V40" s="6"/>
      <c r="Y40" s="5"/>
      <c r="Z40" s="6"/>
    </row>
    <row r="41" spans="4:36" x14ac:dyDescent="0.2">
      <c r="D41" s="40" t="s">
        <v>113</v>
      </c>
      <c r="E41" s="41">
        <f>$G$14</f>
        <v>99</v>
      </c>
      <c r="H41" s="40" t="s">
        <v>113</v>
      </c>
      <c r="I41" s="41">
        <f>$G$14</f>
        <v>99</v>
      </c>
      <c r="L41" s="40" t="s">
        <v>113</v>
      </c>
      <c r="M41" s="41">
        <f>$G$14</f>
        <v>99</v>
      </c>
      <c r="Q41" s="40" t="s">
        <v>113</v>
      </c>
      <c r="R41" s="41">
        <f>$G$14</f>
        <v>99</v>
      </c>
      <c r="U41" s="40" t="s">
        <v>113</v>
      </c>
      <c r="V41" s="41">
        <f>$G$14</f>
        <v>99</v>
      </c>
      <c r="Y41" s="40" t="s">
        <v>113</v>
      </c>
      <c r="Z41" s="41">
        <f>$G$14</f>
        <v>99</v>
      </c>
    </row>
    <row r="42" spans="4:36" x14ac:dyDescent="0.2">
      <c r="D42" s="5" t="s">
        <v>78</v>
      </c>
      <c r="E42" s="6">
        <f>($R$8-$R$9)/($H$13-$H$14)</f>
        <v>1</v>
      </c>
      <c r="H42" s="5" t="s">
        <v>78</v>
      </c>
      <c r="I42" s="6">
        <f>($R$18-$R$19)/($H$13-$H$14)</f>
        <v>0</v>
      </c>
      <c r="L42" s="5" t="s">
        <v>78</v>
      </c>
      <c r="M42" s="6">
        <f>($R$25-$R$26)/($H$13-$H$14)</f>
        <v>0</v>
      </c>
      <c r="Q42" s="5" t="s">
        <v>78</v>
      </c>
      <c r="R42" s="6">
        <f>($AC$8-$AC$9)/($H$13-$H$14)</f>
        <v>0</v>
      </c>
      <c r="U42" s="5" t="s">
        <v>78</v>
      </c>
      <c r="V42" s="6">
        <f>($AC$17-$AC$18)/($H$13-$H$14)</f>
        <v>-1</v>
      </c>
      <c r="Y42" s="5" t="s">
        <v>78</v>
      </c>
      <c r="Z42" s="6">
        <f>($AC$24-$AC$25)/($H$13-$H$14)</f>
        <v>0</v>
      </c>
    </row>
    <row r="43" spans="4:36" x14ac:dyDescent="0.2">
      <c r="D43" s="5" t="s">
        <v>134</v>
      </c>
      <c r="E43" s="6">
        <f>($R$8-$E$42*$H$13)/(1+$E$6)</f>
        <v>-53.910945000053914</v>
      </c>
      <c r="F43" t="s">
        <v>118</v>
      </c>
      <c r="H43" s="5" t="s">
        <v>134</v>
      </c>
      <c r="I43" s="6">
        <f>($R$18-I$42*$H$13)/(1+$E$6)</f>
        <v>0</v>
      </c>
      <c r="J43" t="s">
        <v>125</v>
      </c>
      <c r="L43" s="5" t="s">
        <v>134</v>
      </c>
      <c r="M43" s="6">
        <f>($R$25-M$42*$H$13)/(1+$E$6)</f>
        <v>0</v>
      </c>
      <c r="N43" t="s">
        <v>125</v>
      </c>
      <c r="Q43" s="5" t="s">
        <v>134</v>
      </c>
      <c r="R43" s="6">
        <f>($AC$8-R$42*$H$13)/(1+$E$6)</f>
        <v>0</v>
      </c>
      <c r="S43" t="s">
        <v>118</v>
      </c>
      <c r="U43" s="5" t="s">
        <v>134</v>
      </c>
      <c r="V43" s="6">
        <f>($AC$17-V$42*$H$13)/(1+$E$6)</f>
        <v>127.42587000012743</v>
      </c>
      <c r="W43" t="s">
        <v>125</v>
      </c>
      <c r="Y43" s="5" t="s">
        <v>134</v>
      </c>
      <c r="Z43" s="6">
        <f>($AC$24-Z$42*$H$13)/(1+$E$6)</f>
        <v>0</v>
      </c>
      <c r="AA43" t="s">
        <v>125</v>
      </c>
    </row>
    <row r="44" spans="4:36" x14ac:dyDescent="0.2">
      <c r="D44" s="13" t="s">
        <v>134</v>
      </c>
      <c r="E44" s="15">
        <f>($R$9-$E$42*$H$14)/(1+$E$6)</f>
        <v>-53.910945000053914</v>
      </c>
      <c r="F44" t="s">
        <v>120</v>
      </c>
      <c r="H44" s="13" t="s">
        <v>134</v>
      </c>
      <c r="I44" s="15">
        <f>($R$19-I$42*$H$14)/(1+$E$6)</f>
        <v>0</v>
      </c>
      <c r="J44" t="s">
        <v>126</v>
      </c>
      <c r="L44" s="13" t="s">
        <v>134</v>
      </c>
      <c r="M44" s="15">
        <f>($R$26-M$42*$H$14)/(1+$E$6)</f>
        <v>0</v>
      </c>
      <c r="N44" t="s">
        <v>126</v>
      </c>
      <c r="Q44" s="13" t="s">
        <v>134</v>
      </c>
      <c r="R44" s="15">
        <f>($AC$9-R$42*$H$14)/(1+$E$6)</f>
        <v>0</v>
      </c>
      <c r="S44" t="s">
        <v>120</v>
      </c>
      <c r="U44" s="13" t="s">
        <v>134</v>
      </c>
      <c r="V44" s="15">
        <f>($AC$18-V$42*$H$14)/(1+$E$6)</f>
        <v>127.42587000012743</v>
      </c>
      <c r="W44" t="s">
        <v>126</v>
      </c>
      <c r="Y44" s="13" t="s">
        <v>134</v>
      </c>
      <c r="Z44" s="15">
        <f>($AC$25-Z$42*$H$14)/(1+$E$6)</f>
        <v>0</v>
      </c>
      <c r="AA44" t="s">
        <v>126</v>
      </c>
    </row>
    <row r="45" spans="4:36" x14ac:dyDescent="0.2">
      <c r="D45" s="5"/>
      <c r="E45" s="6"/>
      <c r="H45" s="5"/>
      <c r="I45" s="6"/>
      <c r="L45" s="5"/>
      <c r="M45" s="6"/>
      <c r="Q45" s="5"/>
      <c r="R45" s="6"/>
      <c r="U45" s="5"/>
      <c r="V45" s="6"/>
      <c r="Y45" s="5"/>
      <c r="Z45" s="6"/>
    </row>
    <row r="46" spans="4:36" x14ac:dyDescent="0.2">
      <c r="D46" s="40" t="s">
        <v>114</v>
      </c>
      <c r="E46" s="41">
        <f>$G$15</f>
        <v>81</v>
      </c>
      <c r="H46" s="40" t="s">
        <v>114</v>
      </c>
      <c r="I46" s="41">
        <f>$G$15</f>
        <v>81</v>
      </c>
      <c r="L46" s="40" t="s">
        <v>114</v>
      </c>
      <c r="M46" s="41">
        <f>$G$15</f>
        <v>81</v>
      </c>
      <c r="Q46" s="40" t="s">
        <v>114</v>
      </c>
      <c r="R46" s="41">
        <f>$G$15</f>
        <v>81</v>
      </c>
      <c r="U46" s="40" t="s">
        <v>114</v>
      </c>
      <c r="V46" s="41">
        <f>$G$15</f>
        <v>81</v>
      </c>
      <c r="Y46" s="40" t="s">
        <v>114</v>
      </c>
      <c r="Z46" s="41">
        <f>$G$15</f>
        <v>81</v>
      </c>
    </row>
    <row r="47" spans="4:36" x14ac:dyDescent="0.2">
      <c r="D47" s="5" t="s">
        <v>78</v>
      </c>
      <c r="E47" s="6">
        <f>($R$9-$R$10)/($H$14-$H$15)</f>
        <v>1</v>
      </c>
      <c r="H47" s="5" t="s">
        <v>78</v>
      </c>
      <c r="I47" s="6">
        <f>($R$19-$R$20)/($H$14-$H$15)</f>
        <v>0</v>
      </c>
      <c r="L47" s="5" t="s">
        <v>78</v>
      </c>
      <c r="M47" s="6">
        <f>($R$26-$R$27)/($H$14-$H$15)</f>
        <v>0</v>
      </c>
      <c r="Q47" s="5" t="s">
        <v>78</v>
      </c>
      <c r="R47" s="6">
        <f>($AC$9-$AC$10)/($H$14-$H$15)</f>
        <v>0</v>
      </c>
      <c r="U47" s="5" t="s">
        <v>78</v>
      </c>
      <c r="V47" s="6">
        <f>($AC$18-$AC$19)/($H$14-$H$15)</f>
        <v>-1</v>
      </c>
      <c r="Y47" s="5" t="s">
        <v>78</v>
      </c>
      <c r="Z47" s="6">
        <f>($AC$25-$AC$26)/($H$14-$H$15)</f>
        <v>0</v>
      </c>
    </row>
    <row r="48" spans="4:36" x14ac:dyDescent="0.2">
      <c r="D48" s="5" t="s">
        <v>134</v>
      </c>
      <c r="E48" s="6">
        <f>($R$9-$E$47*$H$14)/(1+$E$6)</f>
        <v>-53.910945000053914</v>
      </c>
      <c r="F48" t="s">
        <v>121</v>
      </c>
      <c r="H48" s="5" t="s">
        <v>134</v>
      </c>
      <c r="I48" s="6">
        <f>($R$19-I$47*$H$14)/(1+$E$6)</f>
        <v>0</v>
      </c>
      <c r="J48" t="s">
        <v>127</v>
      </c>
      <c r="L48" s="5" t="s">
        <v>134</v>
      </c>
      <c r="M48" s="6">
        <f>($R$26-M$47*$H$14)/(1+$E$6)</f>
        <v>0</v>
      </c>
      <c r="N48" t="s">
        <v>127</v>
      </c>
      <c r="Q48" s="5" t="s">
        <v>134</v>
      </c>
      <c r="R48" s="6">
        <f>($AC$9-R$47*$H$14)/(1+$E$6)</f>
        <v>0</v>
      </c>
      <c r="S48" t="s">
        <v>121</v>
      </c>
      <c r="U48" s="5" t="s">
        <v>134</v>
      </c>
      <c r="V48" s="6">
        <f>($AC$18-V$47*$H$14)/(1+$E$6)</f>
        <v>127.42587000012743</v>
      </c>
      <c r="W48" t="s">
        <v>127</v>
      </c>
      <c r="Y48" s="5" t="s">
        <v>134</v>
      </c>
      <c r="Z48" s="6">
        <f>($AC$25-Z$47*$H$14)/(1+$E$6)</f>
        <v>0</v>
      </c>
      <c r="AA48" t="s">
        <v>127</v>
      </c>
    </row>
    <row r="49" spans="4:27" x14ac:dyDescent="0.2">
      <c r="D49" s="13" t="s">
        <v>134</v>
      </c>
      <c r="E49" s="15">
        <f>($R$10-$E$47*$H$15)/(1+$E$6)</f>
        <v>-53.910945000053914</v>
      </c>
      <c r="F49" t="s">
        <v>122</v>
      </c>
      <c r="H49" s="13" t="s">
        <v>134</v>
      </c>
      <c r="I49" s="15">
        <f>($R$20-I$47*$H$15)/(1+$E$6)</f>
        <v>0</v>
      </c>
      <c r="J49" t="s">
        <v>128</v>
      </c>
      <c r="L49" s="13" t="s">
        <v>134</v>
      </c>
      <c r="M49" s="15">
        <f>($R$27-M$47*$H$15)/(1+$E$6)</f>
        <v>0</v>
      </c>
      <c r="N49" t="s">
        <v>128</v>
      </c>
      <c r="Q49" s="13" t="s">
        <v>134</v>
      </c>
      <c r="R49" s="15">
        <f>($AC$10-R$47*$H$15)/(1+$E$6)</f>
        <v>0</v>
      </c>
      <c r="S49" t="s">
        <v>122</v>
      </c>
      <c r="U49" s="13" t="s">
        <v>134</v>
      </c>
      <c r="V49" s="15">
        <f>($AC$19-V$47*$H$15)/(1+$E$6)</f>
        <v>127.42587000012743</v>
      </c>
      <c r="W49" t="s">
        <v>128</v>
      </c>
      <c r="Y49" s="13" t="s">
        <v>134</v>
      </c>
      <c r="Z49" s="15">
        <f>($AC$26-Z$47*$H$15)/(1+$E$6)</f>
        <v>0</v>
      </c>
      <c r="AA49" t="s">
        <v>128</v>
      </c>
    </row>
    <row r="50" spans="4:27" x14ac:dyDescent="0.2">
      <c r="D50" s="5"/>
      <c r="E50" s="6"/>
      <c r="H50" s="5"/>
      <c r="I50" s="6"/>
      <c r="L50" s="5"/>
      <c r="M50" s="6"/>
      <c r="Q50" s="5"/>
      <c r="R50" s="6"/>
      <c r="U50" s="5"/>
      <c r="V50" s="6"/>
      <c r="Y50" s="5"/>
      <c r="Z50" s="6"/>
    </row>
    <row r="51" spans="4:27" x14ac:dyDescent="0.2">
      <c r="D51" s="40" t="s">
        <v>115</v>
      </c>
      <c r="E51" s="41">
        <f>$F$14</f>
        <v>110</v>
      </c>
      <c r="H51" s="40" t="s">
        <v>115</v>
      </c>
      <c r="I51" s="41">
        <f>$F$14</f>
        <v>110</v>
      </c>
      <c r="L51" s="40" t="s">
        <v>115</v>
      </c>
      <c r="M51" s="41">
        <f>$F$14</f>
        <v>110</v>
      </c>
      <c r="Q51" s="40" t="s">
        <v>115</v>
      </c>
      <c r="R51" s="41">
        <f>$F$14</f>
        <v>110</v>
      </c>
      <c r="U51" s="40" t="s">
        <v>115</v>
      </c>
      <c r="V51" s="41">
        <f>$F$14</f>
        <v>110</v>
      </c>
      <c r="Y51" s="40" t="s">
        <v>115</v>
      </c>
      <c r="Z51" s="41">
        <f>$F$14</f>
        <v>110</v>
      </c>
    </row>
    <row r="52" spans="4:27" x14ac:dyDescent="0.2">
      <c r="D52" s="5" t="s">
        <v>78</v>
      </c>
      <c r="E52" s="6">
        <f>($Q$8-$Q$9)/($G$13-$G$14)</f>
        <v>1.0000000000000007</v>
      </c>
      <c r="H52" s="5" t="s">
        <v>78</v>
      </c>
      <c r="I52" s="6">
        <f>($Q$18-$Q$19)/($G$13-$G$14)</f>
        <v>0</v>
      </c>
      <c r="L52" s="5" t="s">
        <v>78</v>
      </c>
      <c r="M52" s="6">
        <f>($Q$25-$Q$26)/($G$13-$G$14)</f>
        <v>0</v>
      </c>
      <c r="Q52" s="5" t="s">
        <v>78</v>
      </c>
      <c r="R52" s="6">
        <f>($AB$8-$AB$9)/($G$13-$G$14)</f>
        <v>8.3010179544832863E-2</v>
      </c>
      <c r="U52" s="5" t="s">
        <v>78</v>
      </c>
      <c r="V52" s="6">
        <f>($AB$17-$AB$18)/($G$13-$G$14)</f>
        <v>-1</v>
      </c>
      <c r="Y52" s="5" t="s">
        <v>78</v>
      </c>
      <c r="Z52" s="6">
        <f>($AB$24-$AB$25)/($G$13-$G$14)</f>
        <v>0</v>
      </c>
    </row>
    <row r="53" spans="4:27" x14ac:dyDescent="0.2">
      <c r="D53" s="5" t="s">
        <v>134</v>
      </c>
      <c r="E53" s="6">
        <f>($Q$8-$E$52*$G$13)/(1+$E$6)</f>
        <v>-52.843454378160764</v>
      </c>
      <c r="F53" t="s">
        <v>80</v>
      </c>
      <c r="H53" s="5" t="s">
        <v>134</v>
      </c>
      <c r="I53" s="6">
        <f>($Q$18-I$52*$G$13)/(1+$E$6)</f>
        <v>0</v>
      </c>
      <c r="J53" t="s">
        <v>92</v>
      </c>
      <c r="L53" s="5" t="s">
        <v>134</v>
      </c>
      <c r="M53" s="6">
        <f>($Q$25-M$52*$G$13)/(1+$E$6)</f>
        <v>0</v>
      </c>
      <c r="N53" t="s">
        <v>92</v>
      </c>
      <c r="Q53" s="5" t="s">
        <v>134</v>
      </c>
      <c r="R53" s="6">
        <f>($AB$8-R$52*$G$13)/(1+$E$6)</f>
        <v>-8.0552830029949529</v>
      </c>
      <c r="S53" t="s">
        <v>80</v>
      </c>
      <c r="U53" s="5" t="s">
        <v>134</v>
      </c>
      <c r="V53" s="6">
        <f>($AB$17-V$52*$G$13)/(1+$E$6)</f>
        <v>127.42587000012743</v>
      </c>
      <c r="W53" t="s">
        <v>92</v>
      </c>
      <c r="Y53" s="5" t="s">
        <v>134</v>
      </c>
      <c r="Z53" s="6">
        <f>($AB$24-Z$52*$G$13)/(1+$E$6)</f>
        <v>0</v>
      </c>
      <c r="AA53" t="s">
        <v>92</v>
      </c>
    </row>
    <row r="54" spans="4:27" x14ac:dyDescent="0.2">
      <c r="D54" s="13" t="s">
        <v>134</v>
      </c>
      <c r="E54" s="15">
        <f>($Q$9-$E$52*$G$14)/(1+$E$6)</f>
        <v>-52.843454378160764</v>
      </c>
      <c r="F54" t="s">
        <v>79</v>
      </c>
      <c r="H54" s="13" t="s">
        <v>134</v>
      </c>
      <c r="I54" s="15">
        <f>($Q$19-I$52*$G$14)/(1+$E$6)</f>
        <v>0</v>
      </c>
      <c r="J54" t="s">
        <v>93</v>
      </c>
      <c r="L54" s="13" t="s">
        <v>134</v>
      </c>
      <c r="M54" s="15">
        <f>($Q$26-M$52*$G$14)/(1+$E$6)</f>
        <v>0</v>
      </c>
      <c r="N54" t="s">
        <v>93</v>
      </c>
      <c r="Q54" s="13" t="s">
        <v>134</v>
      </c>
      <c r="R54" s="15">
        <f>($AB$9-R$52*$G$14)/(1+$E$6)</f>
        <v>-8.0552830029949529</v>
      </c>
      <c r="S54" t="s">
        <v>79</v>
      </c>
      <c r="U54" s="13" t="s">
        <v>134</v>
      </c>
      <c r="V54" s="15">
        <f>($AB$18-V$52*$G$14)/(1+$E$6)</f>
        <v>127.42587000012743</v>
      </c>
      <c r="W54" t="s">
        <v>93</v>
      </c>
      <c r="Y54" s="13" t="s">
        <v>134</v>
      </c>
      <c r="Z54" s="15">
        <f>($AB$25-Z$52*$G$14)/(1+$E$6)</f>
        <v>0</v>
      </c>
      <c r="AA54" t="s">
        <v>93</v>
      </c>
    </row>
    <row r="55" spans="4:27" x14ac:dyDescent="0.2">
      <c r="D55" s="5"/>
      <c r="E55" s="6"/>
      <c r="H55" s="5"/>
      <c r="I55" s="6"/>
      <c r="L55" s="5"/>
      <c r="M55" s="6"/>
      <c r="Q55" s="5"/>
      <c r="R55" s="6"/>
      <c r="U55" s="5"/>
      <c r="V55" s="6"/>
      <c r="Y55" s="5"/>
      <c r="Z55" s="6"/>
    </row>
    <row r="56" spans="4:27" x14ac:dyDescent="0.2">
      <c r="D56" s="40" t="s">
        <v>116</v>
      </c>
      <c r="E56" s="41">
        <f>$F$15</f>
        <v>90</v>
      </c>
      <c r="H56" s="40" t="s">
        <v>116</v>
      </c>
      <c r="I56" s="41">
        <f>$F$15</f>
        <v>90</v>
      </c>
      <c r="L56" s="40" t="s">
        <v>116</v>
      </c>
      <c r="M56" s="41">
        <f>$F$15</f>
        <v>90</v>
      </c>
      <c r="Q56" s="40" t="s">
        <v>116</v>
      </c>
      <c r="R56" s="41">
        <f>$F$15</f>
        <v>90</v>
      </c>
      <c r="U56" s="40" t="s">
        <v>116</v>
      </c>
      <c r="V56" s="41">
        <f>$F$15</f>
        <v>90</v>
      </c>
      <c r="Y56" s="40" t="s">
        <v>116</v>
      </c>
      <c r="Z56" s="41">
        <f>$F$15</f>
        <v>90</v>
      </c>
    </row>
    <row r="57" spans="4:27" x14ac:dyDescent="0.2">
      <c r="D57" s="5" t="s">
        <v>78</v>
      </c>
      <c r="E57" s="6">
        <f>($Q$9-$Q$10)/($G$14-$G$15)</f>
        <v>0.99999999999999978</v>
      </c>
      <c r="H57" s="5" t="s">
        <v>78</v>
      </c>
      <c r="I57" s="6">
        <f>($Q$19-$Q$20)/($G$14-$G$15)</f>
        <v>0</v>
      </c>
      <c r="L57" s="5" t="s">
        <v>78</v>
      </c>
      <c r="M57" s="6">
        <f>($Q$26-$Q$27)/($G$14-$G$15)</f>
        <v>0</v>
      </c>
      <c r="Q57" s="5" t="s">
        <v>78</v>
      </c>
      <c r="R57" s="6">
        <f>($AB$9-$AB$10)/($G$14-$G$15)</f>
        <v>0</v>
      </c>
      <c r="U57" s="5" t="s">
        <v>78</v>
      </c>
      <c r="V57" s="6">
        <f>($AB$18-$AB$19)/($G$14-$G$15)</f>
        <v>-1</v>
      </c>
      <c r="Y57" s="5" t="s">
        <v>78</v>
      </c>
      <c r="Z57" s="6">
        <f>($AB$25-$AB$26)/($G$14-$G$15)</f>
        <v>0</v>
      </c>
    </row>
    <row r="58" spans="4:27" x14ac:dyDescent="0.2">
      <c r="D58" s="5" t="s">
        <v>134</v>
      </c>
      <c r="E58" s="6">
        <f>($Q$9-$E$57*$G$14)/(1+$E$6)</f>
        <v>-52.843454378160665</v>
      </c>
      <c r="F58" t="s">
        <v>83</v>
      </c>
      <c r="H58" s="5" t="s">
        <v>134</v>
      </c>
      <c r="I58" s="6">
        <f>($Q$19-I$57*$G$14)/(1+$E$6)</f>
        <v>0</v>
      </c>
      <c r="J58" t="s">
        <v>94</v>
      </c>
      <c r="L58" s="5" t="s">
        <v>134</v>
      </c>
      <c r="M58" s="6">
        <f>($Q$26-M$57*$G$14)/(1+$E$6)</f>
        <v>0</v>
      </c>
      <c r="N58" t="s">
        <v>94</v>
      </c>
      <c r="Q58" s="5" t="s">
        <v>134</v>
      </c>
      <c r="R58" s="6">
        <f>($AB$9-R$57*$G$14)/(1+$E$6)</f>
        <v>0</v>
      </c>
      <c r="S58" t="s">
        <v>83</v>
      </c>
      <c r="U58" s="5" t="s">
        <v>134</v>
      </c>
      <c r="V58" s="6">
        <f>($AB$18-V$57*$G$14)/(1+$E$6)</f>
        <v>127.42587000012743</v>
      </c>
      <c r="W58" t="s">
        <v>94</v>
      </c>
      <c r="Y58" s="5" t="s">
        <v>134</v>
      </c>
      <c r="Z58" s="6">
        <f>($AB$25-Z$57*$G$14)/(1+$E$6)</f>
        <v>0</v>
      </c>
      <c r="AA58" t="s">
        <v>94</v>
      </c>
    </row>
    <row r="59" spans="4:27" x14ac:dyDescent="0.2">
      <c r="D59" s="13" t="s">
        <v>134</v>
      </c>
      <c r="E59" s="15">
        <f>($Q$10-$E$57*$G$15)/(1+$E$6)</f>
        <v>-52.843454378160679</v>
      </c>
      <c r="F59" t="s">
        <v>84</v>
      </c>
      <c r="H59" s="13" t="s">
        <v>134</v>
      </c>
      <c r="I59" s="15">
        <f>($Q$20-I$57*$G$15)/(1+$E$6)</f>
        <v>0</v>
      </c>
      <c r="J59" t="s">
        <v>95</v>
      </c>
      <c r="L59" s="13" t="s">
        <v>134</v>
      </c>
      <c r="M59" s="15">
        <f>($Q$27-M$57*$G$15)/(1+$E$6)</f>
        <v>0</v>
      </c>
      <c r="N59" t="s">
        <v>95</v>
      </c>
      <c r="Q59" s="13" t="s">
        <v>134</v>
      </c>
      <c r="R59" s="15">
        <f>($AB$10-R$57*$G$15)/(1+$E$6)</f>
        <v>0</v>
      </c>
      <c r="S59" t="s">
        <v>84</v>
      </c>
      <c r="U59" s="13" t="s">
        <v>134</v>
      </c>
      <c r="V59" s="15">
        <f>($AB$19-V$57*$G$15)/(1+$E$6)</f>
        <v>127.42587000012743</v>
      </c>
      <c r="W59" t="s">
        <v>95</v>
      </c>
      <c r="Y59" s="13" t="s">
        <v>134</v>
      </c>
      <c r="Z59" s="15">
        <f>($AB$26-Z$57*$G$15)/(1+$E$6)</f>
        <v>0</v>
      </c>
      <c r="AA59" t="s">
        <v>95</v>
      </c>
    </row>
    <row r="60" spans="4:27" x14ac:dyDescent="0.2">
      <c r="D60" s="5"/>
      <c r="E60" s="6"/>
      <c r="H60" s="5"/>
      <c r="I60" s="6"/>
      <c r="L60" s="5"/>
      <c r="M60" s="6"/>
      <c r="Q60" s="5"/>
      <c r="R60" s="6"/>
      <c r="U60" s="5"/>
      <c r="V60" s="6"/>
      <c r="Y60" s="5"/>
      <c r="Z60" s="6"/>
    </row>
    <row r="61" spans="4:27" x14ac:dyDescent="0.2">
      <c r="D61" s="40" t="s">
        <v>85</v>
      </c>
      <c r="E61" s="41">
        <f>$E$15</f>
        <v>100</v>
      </c>
      <c r="H61" s="40" t="s">
        <v>85</v>
      </c>
      <c r="I61" s="41">
        <f>$E$15</f>
        <v>100</v>
      </c>
      <c r="L61" s="40" t="s">
        <v>85</v>
      </c>
      <c r="M61" s="41">
        <f>$E$15</f>
        <v>100</v>
      </c>
      <c r="Q61" s="40" t="s">
        <v>85</v>
      </c>
      <c r="R61" s="41">
        <f>$E$15</f>
        <v>100</v>
      </c>
      <c r="U61" s="40" t="s">
        <v>85</v>
      </c>
      <c r="V61" s="41">
        <f>$E$15</f>
        <v>100</v>
      </c>
      <c r="Y61" s="40" t="s">
        <v>85</v>
      </c>
      <c r="Z61" s="41">
        <f>$E$15</f>
        <v>100</v>
      </c>
    </row>
    <row r="62" spans="4:27" x14ac:dyDescent="0.2">
      <c r="D62" s="5" t="s">
        <v>78</v>
      </c>
      <c r="E62" s="6">
        <f>($P$9-$P$10)/($F$14-$F$15)</f>
        <v>1</v>
      </c>
      <c r="H62" s="5" t="s">
        <v>78</v>
      </c>
      <c r="I62" s="6">
        <f>($P$19-$P$20)/($F$14-$F$15)</f>
        <v>0</v>
      </c>
      <c r="L62" s="5" t="s">
        <v>78</v>
      </c>
      <c r="M62" s="6">
        <f>($P$26-$P$27)/($F$14-$F$15)</f>
        <v>0</v>
      </c>
      <c r="Q62" s="5" t="s">
        <v>78</v>
      </c>
      <c r="R62" s="6">
        <f>($AA$9-$AA$10)/($F$14-$F$15)</f>
        <v>5.3791837346833057E-2</v>
      </c>
      <c r="U62" s="5" t="s">
        <v>78</v>
      </c>
      <c r="V62" s="6">
        <f>($AA$18-$AA$19)/($F$14-$F$15)</f>
        <v>-1</v>
      </c>
      <c r="Y62" s="5" t="s">
        <v>78</v>
      </c>
      <c r="Z62" s="6">
        <f>($AA$25-$AA$26)/($F$14-$F$15)</f>
        <v>0</v>
      </c>
    </row>
    <row r="63" spans="4:27" x14ac:dyDescent="0.2">
      <c r="D63" s="5" t="s">
        <v>134</v>
      </c>
      <c r="E63" s="6">
        <f>($P$9-$E$62*$F$14)/(1+$E$6)</f>
        <v>-51.797101138070545</v>
      </c>
      <c r="F63" t="s">
        <v>86</v>
      </c>
      <c r="H63" s="5" t="s">
        <v>134</v>
      </c>
      <c r="I63" s="6">
        <f>($P$19-I$62*$F$14)/(1+$E$6)</f>
        <v>0</v>
      </c>
      <c r="J63" t="s">
        <v>96</v>
      </c>
      <c r="L63" s="5" t="s">
        <v>134</v>
      </c>
      <c r="M63" s="6">
        <f>($P$26-M$62*$F$14)/(1+$E$6)</f>
        <v>0</v>
      </c>
      <c r="N63" t="s">
        <v>96</v>
      </c>
      <c r="Q63" s="5" t="s">
        <v>134</v>
      </c>
      <c r="R63" s="6">
        <f>($AA$9-R$62*$F$14)/(1+$E$6)</f>
        <v>-4.7454034658023021</v>
      </c>
      <c r="S63" t="s">
        <v>86</v>
      </c>
      <c r="U63" s="5" t="s">
        <v>134</v>
      </c>
      <c r="V63" s="6">
        <f>($AA$18-V$62*$F$14)/(1+$E$6)</f>
        <v>127.42587000012743</v>
      </c>
      <c r="W63" t="s">
        <v>96</v>
      </c>
      <c r="Y63" s="5" t="s">
        <v>134</v>
      </c>
      <c r="Z63" s="6">
        <f>($AA$25-Z$62*$F$14)/(1+$E$6)</f>
        <v>0</v>
      </c>
      <c r="AA63" t="s">
        <v>96</v>
      </c>
    </row>
    <row r="64" spans="4:27" x14ac:dyDescent="0.2">
      <c r="D64" s="13" t="s">
        <v>134</v>
      </c>
      <c r="E64" s="15">
        <f>($P$10-$E$62*$F$15)/(1+$E$6)</f>
        <v>-51.797101138070545</v>
      </c>
      <c r="F64" t="s">
        <v>87</v>
      </c>
      <c r="H64" s="13" t="s">
        <v>134</v>
      </c>
      <c r="I64" s="15">
        <f>($P$20-I$62*$F$15)/(1+$E$6)</f>
        <v>0</v>
      </c>
      <c r="J64" t="s">
        <v>97</v>
      </c>
      <c r="L64" s="13" t="s">
        <v>134</v>
      </c>
      <c r="M64" s="15">
        <f>($P$27-M$62*$F$15)/(1+$E$6)</f>
        <v>0</v>
      </c>
      <c r="N64" t="s">
        <v>97</v>
      </c>
      <c r="Q64" s="13" t="s">
        <v>134</v>
      </c>
      <c r="R64" s="15">
        <f>($AA$10-R$62*$F$15)/(1+$E$6)</f>
        <v>-4.745403465802303</v>
      </c>
      <c r="S64" t="s">
        <v>87</v>
      </c>
      <c r="U64" s="13" t="s">
        <v>134</v>
      </c>
      <c r="V64" s="15">
        <f>($AA$19-V$62*$F$15)/(1+$E$6)</f>
        <v>127.42587000012743</v>
      </c>
      <c r="W64" t="s">
        <v>97</v>
      </c>
      <c r="Y64" s="13" t="s">
        <v>134</v>
      </c>
      <c r="Z64" s="15">
        <f>($AA$26-Z$62*$F$15)/(1+$E$6)</f>
        <v>0</v>
      </c>
      <c r="AA64" t="s">
        <v>97</v>
      </c>
    </row>
    <row r="68" spans="4:17" x14ac:dyDescent="0.2">
      <c r="O68" t="s">
        <v>224</v>
      </c>
    </row>
    <row r="69" spans="4:17" x14ac:dyDescent="0.2">
      <c r="D69" s="2" t="s">
        <v>129</v>
      </c>
      <c r="E69" s="3"/>
      <c r="F69" s="3"/>
      <c r="G69" s="4"/>
      <c r="I69" s="2" t="s">
        <v>130</v>
      </c>
      <c r="J69" s="3"/>
      <c r="K69" s="3"/>
      <c r="L69" s="4"/>
      <c r="O69" s="52" t="s">
        <v>159</v>
      </c>
      <c r="P69" s="52"/>
      <c r="Q69" s="52"/>
    </row>
    <row r="70" spans="4:17" x14ac:dyDescent="0.2">
      <c r="D70" s="5" t="s">
        <v>3</v>
      </c>
      <c r="E70" s="22">
        <v>0</v>
      </c>
      <c r="F70" s="22">
        <v>1</v>
      </c>
      <c r="G70" s="23">
        <v>2</v>
      </c>
      <c r="I70" s="5" t="s">
        <v>3</v>
      </c>
      <c r="J70" s="22">
        <v>0</v>
      </c>
      <c r="K70" s="22">
        <v>1</v>
      </c>
      <c r="L70" s="23">
        <v>2</v>
      </c>
      <c r="O70" s="53" t="s">
        <v>160</v>
      </c>
      <c r="P70" s="54"/>
      <c r="Q70" s="52"/>
    </row>
    <row r="71" spans="4:17" x14ac:dyDescent="0.2">
      <c r="D71" s="5"/>
      <c r="G71" s="6">
        <f>(1+$E$6-I21)/(I20-I21)</f>
        <v>0.6010049999999999</v>
      </c>
      <c r="I71" s="5"/>
      <c r="L71" s="6">
        <f>1-G71</f>
        <v>0.3989950000000001</v>
      </c>
      <c r="O71" s="51" t="s">
        <v>153</v>
      </c>
      <c r="P71" s="55">
        <f>L6</f>
        <v>55</v>
      </c>
      <c r="Q71" s="52"/>
    </row>
    <row r="72" spans="4:17" x14ac:dyDescent="0.2">
      <c r="D72" s="5"/>
      <c r="F72">
        <f>(1+$E$6-G22)/(G21-G22)</f>
        <v>0.60100499999999923</v>
      </c>
      <c r="G72" s="6">
        <f>(1+$E$6-I23)/(I22-I23)</f>
        <v>0.60100499999999946</v>
      </c>
      <c r="I72" s="5"/>
      <c r="K72">
        <f>1-F72</f>
        <v>0.39899500000000077</v>
      </c>
      <c r="L72" s="6">
        <f>1-G72</f>
        <v>0.39899500000000054</v>
      </c>
      <c r="O72" s="56" t="s">
        <v>154</v>
      </c>
      <c r="P72" s="57">
        <f>L8-L18</f>
        <v>48.202898861929455</v>
      </c>
      <c r="Q72" s="52"/>
    </row>
    <row r="73" spans="4:17" x14ac:dyDescent="0.2">
      <c r="D73" s="13"/>
      <c r="E73" s="14">
        <f>(1+$E$6-E23)/(E22-E23)</f>
        <v>0.60100499999999923</v>
      </c>
      <c r="F73" s="14">
        <f>(1+$E$6-G24)/(G23-G24)</f>
        <v>0.60100499999999923</v>
      </c>
      <c r="G73" s="15">
        <f>(1+$E$6-I25)/(I24-I25)</f>
        <v>0.6010049999999999</v>
      </c>
      <c r="I73" s="13"/>
      <c r="J73" s="14">
        <f>1-E73</f>
        <v>0.39899500000000077</v>
      </c>
      <c r="K73" s="14">
        <f>1-F73</f>
        <v>0.39899500000000077</v>
      </c>
      <c r="L73" s="15">
        <f>1-G73</f>
        <v>0.3989950000000001</v>
      </c>
      <c r="O73" s="52"/>
      <c r="P73" s="52"/>
      <c r="Q73" s="52"/>
    </row>
    <row r="74" spans="4:17" x14ac:dyDescent="0.2">
      <c r="O74" s="53" t="s">
        <v>161</v>
      </c>
      <c r="P74" s="54"/>
      <c r="Q74" s="52"/>
    </row>
    <row r="75" spans="4:17" x14ac:dyDescent="0.2">
      <c r="O75" s="51" t="s">
        <v>153</v>
      </c>
      <c r="P75" s="55">
        <f>L6</f>
        <v>55</v>
      </c>
      <c r="Q75" s="52"/>
    </row>
    <row r="76" spans="4:17" x14ac:dyDescent="0.2">
      <c r="O76" s="56" t="s">
        <v>154</v>
      </c>
      <c r="P76" s="57">
        <f>L18-L8</f>
        <v>-48.202898861929455</v>
      </c>
      <c r="Q76" s="52"/>
    </row>
    <row r="77" spans="4:17" x14ac:dyDescent="0.2">
      <c r="D77" s="2" t="s">
        <v>131</v>
      </c>
      <c r="E77" s="3" t="s">
        <v>132</v>
      </c>
      <c r="F77" s="3"/>
      <c r="G77" s="4"/>
      <c r="O77" s="52"/>
      <c r="P77" s="52"/>
      <c r="Q77" s="52"/>
    </row>
    <row r="78" spans="4:17" x14ac:dyDescent="0.2">
      <c r="D78" s="5" t="s">
        <v>3</v>
      </c>
      <c r="E78" s="22">
        <v>0</v>
      </c>
      <c r="F78" s="22">
        <v>1</v>
      </c>
      <c r="G78" s="23">
        <v>2</v>
      </c>
      <c r="O78" s="53" t="s">
        <v>162</v>
      </c>
      <c r="P78" s="54"/>
      <c r="Q78" s="52"/>
    </row>
    <row r="79" spans="4:17" x14ac:dyDescent="0.2">
      <c r="D79" s="5"/>
      <c r="G79" s="43">
        <f>IF(AND(I21&lt;(1+$E$6),(1+$E$6)&lt;I20),0,1)</f>
        <v>0</v>
      </c>
      <c r="O79" s="51" t="s">
        <v>155</v>
      </c>
      <c r="P79" s="55">
        <f>L6</f>
        <v>55</v>
      </c>
      <c r="Q79" s="52" t="s">
        <v>157</v>
      </c>
    </row>
    <row r="80" spans="4:17" x14ac:dyDescent="0.2">
      <c r="D80" s="5"/>
      <c r="F80" s="46">
        <f>IF(AND(G22&lt;(1+$E$6),(1+$E$6)&lt;G21),0,1)</f>
        <v>0</v>
      </c>
      <c r="G80" s="43">
        <f>IF(AND(I23&lt;(1+$E$6),(1+$E$6)&lt;I22),0,1)</f>
        <v>0</v>
      </c>
      <c r="O80" s="51" t="s">
        <v>156</v>
      </c>
      <c r="P80" s="55">
        <f>L23</f>
        <v>60</v>
      </c>
      <c r="Q80" s="52" t="s">
        <v>158</v>
      </c>
    </row>
    <row r="81" spans="4:17" x14ac:dyDescent="0.2">
      <c r="D81" s="13"/>
      <c r="E81" s="47">
        <f>IF(AND(E23&lt;(1+$E$6),(1+$E$6)&lt;E22),0,1)</f>
        <v>0</v>
      </c>
      <c r="F81" s="47">
        <f>IF(AND(G24&lt;(1+$E$6),(1+$E$6)&lt;G23),0,1)</f>
        <v>0</v>
      </c>
      <c r="G81" s="44">
        <f>IF(AND(I25&lt;(1+$E$6),(1+$E$6)&lt;I24),0,1)</f>
        <v>0</v>
      </c>
      <c r="O81" s="56" t="s">
        <v>154</v>
      </c>
      <c r="P81" s="57">
        <f>L8-L25</f>
        <v>48.202898861929455</v>
      </c>
      <c r="Q81" s="52"/>
    </row>
    <row r="82" spans="4:17" x14ac:dyDescent="0.2">
      <c r="D82" t="s">
        <v>133</v>
      </c>
      <c r="O82" s="52"/>
      <c r="P82" s="52"/>
      <c r="Q82" s="52"/>
    </row>
    <row r="83" spans="4:17" x14ac:dyDescent="0.2">
      <c r="O83" s="53" t="s">
        <v>163</v>
      </c>
      <c r="P83" s="54"/>
      <c r="Q83" s="52"/>
    </row>
    <row r="84" spans="4:17" x14ac:dyDescent="0.2">
      <c r="O84" s="51" t="s">
        <v>155</v>
      </c>
      <c r="P84" s="55">
        <f>L23</f>
        <v>60</v>
      </c>
      <c r="Q84" s="52" t="s">
        <v>158</v>
      </c>
    </row>
    <row r="85" spans="4:17" x14ac:dyDescent="0.2">
      <c r="O85" s="51" t="s">
        <v>156</v>
      </c>
      <c r="P85" s="55">
        <f>L6</f>
        <v>55</v>
      </c>
      <c r="Q85" s="52" t="s">
        <v>157</v>
      </c>
    </row>
    <row r="86" spans="4:17" x14ac:dyDescent="0.2">
      <c r="O86" s="56" t="s">
        <v>154</v>
      </c>
      <c r="P86" s="57">
        <f>L25-L8</f>
        <v>-48.202898861929455</v>
      </c>
      <c r="Q86" s="52"/>
    </row>
    <row r="87" spans="4:17" x14ac:dyDescent="0.2">
      <c r="O87" s="58" t="s">
        <v>164</v>
      </c>
      <c r="P87" s="52"/>
      <c r="Q87" s="5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C08A4-41E6-2544-9A70-8A0EDC380DD8}">
  <dimension ref="C3:AQ107"/>
  <sheetViews>
    <sheetView topLeftCell="P1" zoomScale="75" workbookViewId="0">
      <selection activeCell="C86" sqref="C86"/>
    </sheetView>
  </sheetViews>
  <sheetFormatPr baseColWidth="10" defaultRowHeight="16" x14ac:dyDescent="0.2"/>
  <cols>
    <col min="4" max="4" width="13.1640625" customWidth="1"/>
    <col min="5" max="7" width="11" bestFit="1" customWidth="1"/>
    <col min="8" max="8" width="12.1640625" customWidth="1"/>
    <col min="9" max="9" width="11" bestFit="1" customWidth="1"/>
    <col min="11" max="11" width="12" bestFit="1" customWidth="1"/>
    <col min="13" max="14" width="11" bestFit="1" customWidth="1"/>
    <col min="24" max="24" width="11.83203125" customWidth="1"/>
  </cols>
  <sheetData>
    <row r="3" spans="4:42" x14ac:dyDescent="0.2">
      <c r="D3" t="s">
        <v>143</v>
      </c>
    </row>
    <row r="5" spans="4:42" x14ac:dyDescent="0.2">
      <c r="D5" s="31" t="s">
        <v>51</v>
      </c>
      <c r="E5" s="32"/>
      <c r="F5" s="32"/>
      <c r="G5" s="32"/>
      <c r="H5" s="32"/>
      <c r="I5" s="33"/>
      <c r="M5" s="31" t="s">
        <v>49</v>
      </c>
      <c r="N5" s="33"/>
      <c r="P5" s="31" t="s">
        <v>62</v>
      </c>
      <c r="Q5" s="32"/>
      <c r="R5" s="32"/>
      <c r="S5" s="32"/>
      <c r="T5" s="32"/>
      <c r="U5" s="33"/>
      <c r="X5" s="31" t="s">
        <v>137</v>
      </c>
      <c r="Y5" s="33"/>
      <c r="AA5" s="31" t="s">
        <v>104</v>
      </c>
      <c r="AB5" s="32"/>
      <c r="AC5" s="32"/>
      <c r="AD5" s="32"/>
      <c r="AE5" s="32"/>
      <c r="AF5" s="33"/>
      <c r="AJ5" s="31" t="s">
        <v>223</v>
      </c>
      <c r="AK5" s="32"/>
      <c r="AL5" s="32"/>
      <c r="AM5" s="32"/>
      <c r="AN5" s="32"/>
      <c r="AO5" s="33"/>
    </row>
    <row r="6" spans="4:42" x14ac:dyDescent="0.2">
      <c r="D6" s="2" t="s">
        <v>50</v>
      </c>
      <c r="E6" s="17">
        <v>0</v>
      </c>
      <c r="I6" s="6"/>
      <c r="M6" s="5" t="s">
        <v>55</v>
      </c>
      <c r="N6" s="18">
        <v>60</v>
      </c>
      <c r="P6" s="5" t="s">
        <v>3</v>
      </c>
      <c r="Q6" s="22">
        <v>0</v>
      </c>
      <c r="R6" s="22">
        <v>1</v>
      </c>
      <c r="S6" s="22">
        <v>2</v>
      </c>
      <c r="T6" s="22">
        <v>3</v>
      </c>
      <c r="U6" s="23">
        <v>4</v>
      </c>
      <c r="W6" s="46" t="s">
        <v>107</v>
      </c>
      <c r="X6" s="5" t="s">
        <v>55</v>
      </c>
      <c r="Y6" s="18">
        <v>55</v>
      </c>
      <c r="AA6" s="5" t="s">
        <v>3</v>
      </c>
      <c r="AB6" s="22">
        <v>0</v>
      </c>
      <c r="AC6" s="22">
        <v>1</v>
      </c>
      <c r="AD6" s="22">
        <v>2</v>
      </c>
      <c r="AE6" s="22">
        <v>3</v>
      </c>
      <c r="AF6" s="23">
        <v>4</v>
      </c>
      <c r="AJ6" s="5" t="s">
        <v>3</v>
      </c>
      <c r="AK6" s="22">
        <v>0</v>
      </c>
      <c r="AL6" s="22">
        <v>1</v>
      </c>
      <c r="AM6" s="22">
        <v>2</v>
      </c>
      <c r="AN6" s="22">
        <v>3</v>
      </c>
      <c r="AO6" s="23">
        <v>4</v>
      </c>
    </row>
    <row r="7" spans="4:42" x14ac:dyDescent="0.2">
      <c r="D7" s="48" t="s">
        <v>52</v>
      </c>
      <c r="E7" s="43">
        <f>F15/E16</f>
        <v>1.1000000000000001</v>
      </c>
      <c r="I7" s="6"/>
      <c r="M7" s="5" t="s">
        <v>56</v>
      </c>
      <c r="N7" s="19">
        <v>3</v>
      </c>
      <c r="P7" s="5"/>
      <c r="U7" s="6">
        <f>MAX(I12-$N$6,0)</f>
        <v>13.209999999999994</v>
      </c>
      <c r="X7" s="5" t="s">
        <v>56</v>
      </c>
      <c r="Y7" s="19">
        <v>3</v>
      </c>
      <c r="AA7" s="5"/>
      <c r="AF7" s="6">
        <f>MAX(I12-$Y$6,0)</f>
        <v>18.209999999999994</v>
      </c>
      <c r="AJ7" s="5"/>
      <c r="AO7" s="6">
        <f>I12</f>
        <v>73.209999999999994</v>
      </c>
    </row>
    <row r="8" spans="4:42" x14ac:dyDescent="0.2">
      <c r="D8" s="48" t="s">
        <v>53</v>
      </c>
      <c r="E8" s="43">
        <f>F16/E16</f>
        <v>0.95</v>
      </c>
      <c r="I8" s="6"/>
      <c r="M8" s="13" t="s">
        <v>68</v>
      </c>
      <c r="N8" s="15">
        <f>Q11</f>
        <v>0.48112590746356115</v>
      </c>
      <c r="P8" s="5"/>
      <c r="T8">
        <f>(H91*U7+N91*U8)/(1+$E$6)</f>
        <v>6.5499999999999972</v>
      </c>
      <c r="U8" s="6">
        <f t="shared" ref="U8:U10" si="0">MAX(I13-$N$6,0)</f>
        <v>3.2199999999999989</v>
      </c>
      <c r="X8" s="5" t="s">
        <v>68</v>
      </c>
      <c r="Y8" s="6">
        <f>AB11</f>
        <v>1.0369155868883422</v>
      </c>
      <c r="AA8" s="5"/>
      <c r="AE8">
        <f>MAX(((H91*AF7+N91*AF8)/(1+$E$6)),0,(H13-$Y$6))</f>
        <v>11.549999999999997</v>
      </c>
      <c r="AF8" s="6">
        <f t="shared" ref="AF8:AF11" si="1">MAX(I13-$Y$6,0)</f>
        <v>8.2199999999999989</v>
      </c>
      <c r="AJ8" s="5"/>
      <c r="AN8">
        <f t="shared" ref="AN8:AN11" si="2">AO7*$E$9+AO8*$E$10</f>
        <v>66.55</v>
      </c>
      <c r="AO8" s="6">
        <f t="shared" ref="AO8:AO11" si="3">I13</f>
        <v>63.22</v>
      </c>
    </row>
    <row r="9" spans="4:42" x14ac:dyDescent="0.2">
      <c r="D9" s="48" t="s">
        <v>60</v>
      </c>
      <c r="E9" s="43">
        <f>(1+E6-E8)/(E7-E8)</f>
        <v>0.33333333333333331</v>
      </c>
      <c r="I9" s="6"/>
      <c r="P9" s="5"/>
      <c r="S9">
        <f>(G92*T8+M92*T9)/(1+$E$6)</f>
        <v>2.898537285408413</v>
      </c>
      <c r="T9">
        <f>(H92*U8+N92*U9)/(1+$E$6)</f>
        <v>1.0758236658932705</v>
      </c>
      <c r="U9" s="6">
        <f>MAX(I14-$N$6,0)</f>
        <v>0</v>
      </c>
      <c r="X9" s="3"/>
      <c r="Y9" s="3"/>
      <c r="AA9" s="5"/>
      <c r="AD9">
        <f>MAX(((G92*AE8+M92*AE9)/(1+$E$6)),0,(G14-$Y$6))</f>
        <v>5.6776694285487741</v>
      </c>
      <c r="AE9">
        <f>MAX(((H92*AF8+N92*AF9)/(1+$E$6)),0,(H14-$Y$6))</f>
        <v>2.7463573085846851</v>
      </c>
      <c r="AF9" s="6">
        <f t="shared" si="1"/>
        <v>0</v>
      </c>
      <c r="AJ9" s="5"/>
      <c r="AM9">
        <f>AN8*$E$9+AN9*$E$10</f>
        <v>60.498888888888892</v>
      </c>
      <c r="AN9">
        <f t="shared" si="2"/>
        <v>57.473333333333336</v>
      </c>
      <c r="AO9" s="6">
        <f t="shared" si="3"/>
        <v>54.6</v>
      </c>
    </row>
    <row r="10" spans="4:42" x14ac:dyDescent="0.2">
      <c r="D10" s="49" t="s">
        <v>54</v>
      </c>
      <c r="E10" s="44">
        <f>1-E9</f>
        <v>0.66666666666666674</v>
      </c>
      <c r="I10" s="6"/>
      <c r="P10" s="5"/>
      <c r="R10">
        <f>(F93*S9+L93*S10)/(1+$E$6)</f>
        <v>1.2049460822093891</v>
      </c>
      <c r="S10">
        <f>(G93*T9+M93*T10)/(1+$E$6)</f>
        <v>0.35815048060987725</v>
      </c>
      <c r="T10">
        <f>(H93*U9+N93*U10)/(1+$E$6)</f>
        <v>0</v>
      </c>
      <c r="U10" s="6">
        <f t="shared" si="0"/>
        <v>0</v>
      </c>
      <c r="AA10" s="5"/>
      <c r="AC10">
        <f>MAX(((F93*AD9+L93*AD10)/(1+$E$6)),0,(F15-$Y$6))</f>
        <v>2.5020796543637096</v>
      </c>
      <c r="AD10">
        <f>MAX(((G93*AE9+M93*AE10)/(1+$E$6)),0,(G15-$Y$6))</f>
        <v>0.91428476727117758</v>
      </c>
      <c r="AE10">
        <f>MAX(((H93*AF9+N93*AF10)/(1+$E$6)),0,(H15-$Y$6))</f>
        <v>0</v>
      </c>
      <c r="AF10" s="6">
        <f>MAX(I15-$Y$6,0)</f>
        <v>0</v>
      </c>
      <c r="AJ10" s="5"/>
      <c r="AL10">
        <f>AM9*$E$9+AM10*$E$10</f>
        <v>55.000370370370376</v>
      </c>
      <c r="AM10">
        <f>AN9*$E$9+AN10*$E$10</f>
        <v>52.251111111111115</v>
      </c>
      <c r="AN10">
        <f t="shared" si="2"/>
        <v>49.64</v>
      </c>
      <c r="AO10" s="6">
        <f t="shared" si="3"/>
        <v>47.16</v>
      </c>
    </row>
    <row r="11" spans="4:42" x14ac:dyDescent="0.2">
      <c r="D11" s="5" t="s">
        <v>3</v>
      </c>
      <c r="E11" s="22">
        <v>0</v>
      </c>
      <c r="F11" s="22">
        <v>1</v>
      </c>
      <c r="G11" s="22">
        <v>2</v>
      </c>
      <c r="H11" s="22">
        <v>3</v>
      </c>
      <c r="I11" s="23">
        <v>4</v>
      </c>
      <c r="P11" s="13"/>
      <c r="Q11" s="14">
        <f>(E94*R10+K94*R11)/(1+$E$6)</f>
        <v>0.48112590746356115</v>
      </c>
      <c r="R11" s="14">
        <f>(F94*S10+L94*S11)/(1+$E$6)</f>
        <v>0.11921582009064718</v>
      </c>
      <c r="S11" s="14">
        <f>(G94*T10+M94*T11)/(1+$E$6)</f>
        <v>0</v>
      </c>
      <c r="T11" s="14">
        <f>(H94*U10+N94*U11)/(1+$E$6)</f>
        <v>0</v>
      </c>
      <c r="U11" s="15">
        <f>MAX(I16-$N$6,0)</f>
        <v>0</v>
      </c>
      <c r="AA11" s="13"/>
      <c r="AB11" s="14">
        <f>MAX(((E94*AC10+K94*AC11)/(1+$E$6)),0,(E16-$Y$6))</f>
        <v>1.0369155868883422</v>
      </c>
      <c r="AC11" s="14">
        <f>MAX(((F94*AD10+L94*AD11)/(1+$E$6)),0,(F16-$Y$6))</f>
        <v>0.30433355315065841</v>
      </c>
      <c r="AD11" s="14">
        <f>MAX(((G94*AE10+M94*AE11)/(1+$E$6)),0,(G16-$Y$6))</f>
        <v>0</v>
      </c>
      <c r="AE11" s="14">
        <f>MAX(((H94*AF10+N94*AF11)/(1+$E$6)),0,(H16-$Y$6))</f>
        <v>0</v>
      </c>
      <c r="AF11" s="15">
        <f t="shared" si="1"/>
        <v>0</v>
      </c>
      <c r="AJ11" s="13"/>
      <c r="AK11" s="14">
        <f>AL10*$E$9+AL11*$E$10</f>
        <v>50.002098765432109</v>
      </c>
      <c r="AL11" s="14">
        <f>AM10*$E$9+AM11*$E$10</f>
        <v>47.502962962962968</v>
      </c>
      <c r="AM11" s="14">
        <f>AN10*$E$9+AN11*$E$10</f>
        <v>45.128888888888895</v>
      </c>
      <c r="AN11" s="14">
        <f t="shared" si="2"/>
        <v>42.873333333333335</v>
      </c>
      <c r="AO11" s="15">
        <f t="shared" si="3"/>
        <v>40.729999999999997</v>
      </c>
    </row>
    <row r="12" spans="4:42" x14ac:dyDescent="0.2">
      <c r="D12" s="5"/>
      <c r="I12" s="18">
        <v>73.209999999999994</v>
      </c>
    </row>
    <row r="13" spans="4:42" x14ac:dyDescent="0.2">
      <c r="D13" s="5"/>
      <c r="H13" s="7">
        <v>66.55</v>
      </c>
      <c r="I13" s="18">
        <v>63.22</v>
      </c>
      <c r="AJ13" t="s">
        <v>247</v>
      </c>
    </row>
    <row r="14" spans="4:42" x14ac:dyDescent="0.2">
      <c r="D14" s="5"/>
      <c r="G14" s="7">
        <v>60.5</v>
      </c>
      <c r="H14" s="7">
        <v>57.48</v>
      </c>
      <c r="I14" s="18">
        <v>54.6</v>
      </c>
      <c r="AJ14" s="31" t="s">
        <v>225</v>
      </c>
      <c r="AK14" s="32"/>
      <c r="AL14" s="32"/>
      <c r="AM14" s="32"/>
      <c r="AN14" s="32"/>
      <c r="AO14" s="33"/>
    </row>
    <row r="15" spans="4:42" x14ac:dyDescent="0.2">
      <c r="D15" s="5"/>
      <c r="F15" s="7">
        <v>55</v>
      </c>
      <c r="G15" s="7">
        <v>52.25</v>
      </c>
      <c r="H15" s="7">
        <v>49.64</v>
      </c>
      <c r="I15" s="18">
        <v>47.16</v>
      </c>
      <c r="M15" s="31" t="s">
        <v>61</v>
      </c>
      <c r="N15" s="33"/>
      <c r="P15" s="31" t="s">
        <v>67</v>
      </c>
      <c r="Q15" s="32"/>
      <c r="R15" s="32"/>
      <c r="S15" s="32"/>
      <c r="T15" s="32"/>
      <c r="U15" s="33"/>
      <c r="X15" s="31" t="s">
        <v>102</v>
      </c>
      <c r="Y15" s="33"/>
      <c r="AA15" s="31" t="s">
        <v>105</v>
      </c>
      <c r="AB15" s="32"/>
      <c r="AC15" s="32"/>
      <c r="AD15" s="32"/>
      <c r="AE15" s="32"/>
      <c r="AF15" s="33"/>
      <c r="AJ15" s="5" t="s">
        <v>3</v>
      </c>
      <c r="AK15" s="22">
        <v>0</v>
      </c>
      <c r="AL15" s="22">
        <v>1</v>
      </c>
      <c r="AM15" s="22">
        <v>2</v>
      </c>
      <c r="AN15" s="22">
        <v>3</v>
      </c>
      <c r="AO15" s="23">
        <v>4</v>
      </c>
    </row>
    <row r="16" spans="4:42" x14ac:dyDescent="0.2">
      <c r="D16" s="13"/>
      <c r="E16" s="39">
        <v>50</v>
      </c>
      <c r="F16" s="39">
        <v>47.5</v>
      </c>
      <c r="G16" s="39">
        <v>45.13</v>
      </c>
      <c r="H16" s="39">
        <v>42.87</v>
      </c>
      <c r="I16" s="36">
        <v>40.729999999999997</v>
      </c>
      <c r="M16" s="51" t="s">
        <v>153</v>
      </c>
      <c r="N16" s="6">
        <f>N6</f>
        <v>60</v>
      </c>
      <c r="P16" s="5" t="s">
        <v>3</v>
      </c>
      <c r="Q16" s="22">
        <v>0</v>
      </c>
      <c r="R16" s="22">
        <v>1</v>
      </c>
      <c r="S16" s="22">
        <v>2</v>
      </c>
      <c r="T16" s="22">
        <v>3</v>
      </c>
      <c r="U16" s="23">
        <v>4</v>
      </c>
      <c r="X16" s="51" t="s">
        <v>153</v>
      </c>
      <c r="Y16" s="6">
        <f>Y6</f>
        <v>55</v>
      </c>
      <c r="AA16" s="5" t="s">
        <v>3</v>
      </c>
      <c r="AB16" s="22">
        <v>0</v>
      </c>
      <c r="AC16" s="22">
        <v>1</v>
      </c>
      <c r="AD16" s="22">
        <v>2</v>
      </c>
      <c r="AE16" s="22">
        <v>3</v>
      </c>
      <c r="AF16" s="23">
        <v>4</v>
      </c>
      <c r="AJ16" s="5"/>
      <c r="AO16" s="64">
        <f>AO7-AN8</f>
        <v>6.6599999999999966</v>
      </c>
      <c r="AP16" t="s">
        <v>232</v>
      </c>
    </row>
    <row r="17" spans="4:43" x14ac:dyDescent="0.2">
      <c r="M17" s="5" t="s">
        <v>69</v>
      </c>
      <c r="N17" s="6">
        <f>N7</f>
        <v>3</v>
      </c>
      <c r="P17" s="5"/>
      <c r="U17" s="6">
        <f>MAX($N$6-I12,0)</f>
        <v>0</v>
      </c>
      <c r="X17" s="5" t="s">
        <v>69</v>
      </c>
      <c r="Y17" s="6">
        <f>Y7</f>
        <v>3</v>
      </c>
      <c r="AA17" s="5"/>
      <c r="AF17" s="6">
        <f>MAX($Y$6-I12,0)</f>
        <v>0</v>
      </c>
      <c r="AJ17" s="5"/>
      <c r="AN17" s="63">
        <f>AN8-AM9</f>
        <v>6.0511111111111049</v>
      </c>
      <c r="AO17" s="6"/>
    </row>
    <row r="18" spans="4:43" x14ac:dyDescent="0.2">
      <c r="D18" s="31" t="s">
        <v>66</v>
      </c>
      <c r="E18" s="32"/>
      <c r="F18" s="32"/>
      <c r="G18" s="32"/>
      <c r="H18" s="32"/>
      <c r="I18" s="32"/>
      <c r="J18" s="32"/>
      <c r="K18" s="33"/>
      <c r="M18" s="13" t="s">
        <v>91</v>
      </c>
      <c r="N18" s="15">
        <f>Q21</f>
        <v>10.481125907463564</v>
      </c>
      <c r="P18" s="5"/>
      <c r="T18">
        <f>(H91*U17+N91*U18)/(1+$E$6)</f>
        <v>0</v>
      </c>
      <c r="U18" s="6">
        <f>MAX($N$6-I13,0)</f>
        <v>0</v>
      </c>
      <c r="X18" s="13" t="s">
        <v>91</v>
      </c>
      <c r="Y18" s="15">
        <f>AB21</f>
        <v>6.0369155868883446</v>
      </c>
      <c r="AA18" s="5"/>
      <c r="AE18">
        <f>MAX(((H91*AF17+N91*AF18)/(1+$E$6)),0,($Y$6-H13))</f>
        <v>0</v>
      </c>
      <c r="AF18" s="6">
        <f>MAX($Y$6-I13,0)</f>
        <v>0</v>
      </c>
      <c r="AJ18" s="5"/>
      <c r="AM18" s="63">
        <f>AM9-AL10</f>
        <v>5.4985185185185159</v>
      </c>
      <c r="AO18" s="67">
        <f>AO8-AN8</f>
        <v>-3.3299999999999983</v>
      </c>
      <c r="AP18" t="s">
        <v>233</v>
      </c>
      <c r="AQ18" t="s">
        <v>240</v>
      </c>
    </row>
    <row r="19" spans="4:43" x14ac:dyDescent="0.2">
      <c r="D19" s="5" t="s">
        <v>63</v>
      </c>
      <c r="E19" t="s">
        <v>64</v>
      </c>
      <c r="F19" t="s">
        <v>63</v>
      </c>
      <c r="G19" t="s">
        <v>65</v>
      </c>
      <c r="H19" t="s">
        <v>63</v>
      </c>
      <c r="I19" t="s">
        <v>77</v>
      </c>
      <c r="J19" t="s">
        <v>63</v>
      </c>
      <c r="K19" s="6" t="s">
        <v>136</v>
      </c>
      <c r="P19" s="5"/>
      <c r="S19">
        <f>(G92*T18+M92*T19)/(1+$E$6)</f>
        <v>2.3985372854084095</v>
      </c>
      <c r="T19">
        <f>(H92*U18+N92*U19)/(1+$E$6)</f>
        <v>3.5958236658932718</v>
      </c>
      <c r="U19" s="6">
        <f>MAX($N$6-I14,0)</f>
        <v>5.3999999999999986</v>
      </c>
      <c r="AA19" s="5"/>
      <c r="AD19">
        <f>MAX(((G92*AE18+M92*AE19)/(1+$E$6)),0,($Y$6-G14))</f>
        <v>0.17766942854877049</v>
      </c>
      <c r="AE19">
        <f>MAX(((H92*AF18+N92*AF19)/(1+$E$6)),0,($Y$6-H14))</f>
        <v>0.26635730858468593</v>
      </c>
      <c r="AF19" s="6">
        <f t="shared" ref="AF19:AF21" si="4">MAX($Y$6-I14,0)</f>
        <v>0.39999999999999858</v>
      </c>
      <c r="AJ19" s="5"/>
      <c r="AN19" s="66">
        <f>AN9-AM9</f>
        <v>-3.025555555555556</v>
      </c>
      <c r="AO19" s="64">
        <f>AO8-AN9</f>
        <v>5.7466666666666626</v>
      </c>
      <c r="AP19" t="s">
        <v>234</v>
      </c>
      <c r="AQ19" t="s">
        <v>241</v>
      </c>
    </row>
    <row r="20" spans="4:43" x14ac:dyDescent="0.2">
      <c r="D20" s="5"/>
      <c r="J20" s="20" t="s">
        <v>1</v>
      </c>
      <c r="K20" s="21">
        <f>I12/H13</f>
        <v>1.1000751314800901</v>
      </c>
      <c r="P20" s="5"/>
      <c r="R20">
        <f>(F93*S19+L93*S20)/(1+$E$6)</f>
        <v>6.2049460822093874</v>
      </c>
      <c r="S20">
        <f>(G93*T19+M93*T20)/(1+$E$6)</f>
        <v>8.1081504806098756</v>
      </c>
      <c r="T20">
        <f>(H93*U19+N93*U20)/(1+$E$6)</f>
        <v>10.36</v>
      </c>
      <c r="U20" s="6">
        <f t="shared" ref="U20:U21" si="5">MAX($N$6-I15,0)</f>
        <v>12.840000000000003</v>
      </c>
      <c r="AA20" s="5"/>
      <c r="AC20">
        <f>MAX(((F93*AD19+L93*AD20)/(1+$E$6)),0,($Y$6-F15))</f>
        <v>2.5020796543637078</v>
      </c>
      <c r="AD20">
        <f>MAX(((G93*AE19+M93*AE20)/(1+$E$6)),0,($Y$6-G15))</f>
        <v>3.6642847672711758</v>
      </c>
      <c r="AE20">
        <f>MAX(((H93*AF19+N93*AF20)/(1+$E$6)),0,($Y$6-H15))</f>
        <v>5.3599999999999994</v>
      </c>
      <c r="AF20" s="6">
        <f t="shared" si="4"/>
        <v>7.8400000000000034</v>
      </c>
      <c r="AJ20" s="5"/>
      <c r="AL20" s="63">
        <f>AL10-AK11</f>
        <v>4.9982716049382674</v>
      </c>
      <c r="AN20" s="63">
        <f>AN9-AM10</f>
        <v>5.2222222222222214</v>
      </c>
      <c r="AO20" s="6"/>
      <c r="AQ20" t="s">
        <v>242</v>
      </c>
    </row>
    <row r="21" spans="4:43" x14ac:dyDescent="0.2">
      <c r="D21" s="5"/>
      <c r="H21" s="20" t="s">
        <v>1</v>
      </c>
      <c r="I21" s="20">
        <f>H13/G14</f>
        <v>1.0999999999999999</v>
      </c>
      <c r="J21" s="22" t="s">
        <v>2</v>
      </c>
      <c r="K21" s="23">
        <f>I13/H13</f>
        <v>0.94996243425995497</v>
      </c>
      <c r="P21" s="13"/>
      <c r="Q21" s="14">
        <f>(E94*R20+K94*R21)/(1+$E$6)</f>
        <v>10.481125907463564</v>
      </c>
      <c r="R21" s="14">
        <f>(F94*S20+L94*S21)/(1+$E$6)</f>
        <v>12.61921582009065</v>
      </c>
      <c r="S21" s="14">
        <f>(G94*T20+M94*T21)/(1+$E$6)</f>
        <v>14.869999999999997</v>
      </c>
      <c r="T21" s="14">
        <f>(H94*U20+N94*U21)/(1+$E$6)</f>
        <v>17.130000000000003</v>
      </c>
      <c r="U21" s="15">
        <f t="shared" si="5"/>
        <v>19.270000000000003</v>
      </c>
      <c r="AA21" s="13"/>
      <c r="AB21" s="14">
        <f>MAX(((E94*AC20+K94*AC21)/(1+$E$6)),0,($Y$6-E16))</f>
        <v>6.0369155868883446</v>
      </c>
      <c r="AC21" s="14">
        <f>MAX(((F94*AD20+L94*AD21)/(1+$E$6)),0,($Y$6-F16))</f>
        <v>7.804333553150661</v>
      </c>
      <c r="AD21" s="14">
        <f>MAX(((G94*AE20+M94*AE21)/(1+$E$6)),0,($Y$6-G16))</f>
        <v>9.8699999999999992</v>
      </c>
      <c r="AE21" s="14">
        <f>MAX(((H94*AF20+N94*AF21)/(1+$E$6)),0,($Y$6-H16))</f>
        <v>12.130000000000003</v>
      </c>
      <c r="AF21" s="15">
        <f t="shared" si="4"/>
        <v>14.270000000000003</v>
      </c>
      <c r="AJ21" s="5"/>
      <c r="AK21" s="22">
        <v>0</v>
      </c>
      <c r="AM21" s="66">
        <f>AM10-AL10</f>
        <v>-2.7492592592592615</v>
      </c>
      <c r="AO21" s="67">
        <f>AO9-AN9</f>
        <v>-2.8733333333333348</v>
      </c>
      <c r="AP21" t="s">
        <v>235</v>
      </c>
      <c r="AQ21" t="s">
        <v>243</v>
      </c>
    </row>
    <row r="22" spans="4:43" x14ac:dyDescent="0.2">
      <c r="D22" s="5"/>
      <c r="F22" s="20" t="s">
        <v>1</v>
      </c>
      <c r="G22" s="20">
        <f>G14/F15</f>
        <v>1.1000000000000001</v>
      </c>
      <c r="H22" s="22" t="s">
        <v>2</v>
      </c>
      <c r="I22" s="22">
        <f>H14/G14</f>
        <v>0.9500826446280991</v>
      </c>
      <c r="J22" s="20" t="s">
        <v>1</v>
      </c>
      <c r="K22" s="21">
        <f>I13/H14</f>
        <v>1.0998608211551844</v>
      </c>
      <c r="AJ22" s="5"/>
      <c r="AM22" s="63">
        <f>AM10-AL11</f>
        <v>4.7481481481481467</v>
      </c>
      <c r="AO22" s="64">
        <f>AO9-AN10</f>
        <v>4.9600000000000009</v>
      </c>
      <c r="AP22" t="s">
        <v>236</v>
      </c>
      <c r="AQ22" t="s">
        <v>244</v>
      </c>
    </row>
    <row r="23" spans="4:43" x14ac:dyDescent="0.2">
      <c r="D23" s="27" t="s">
        <v>1</v>
      </c>
      <c r="E23" s="20">
        <f>F15/E16</f>
        <v>1.1000000000000001</v>
      </c>
      <c r="F23" s="22" t="s">
        <v>2</v>
      </c>
      <c r="G23" s="22">
        <f>G15/F15</f>
        <v>0.95</v>
      </c>
      <c r="H23" s="20" t="s">
        <v>1</v>
      </c>
      <c r="I23" s="20">
        <f>H14/G15</f>
        <v>1.1000956937799042</v>
      </c>
      <c r="J23" s="22" t="s">
        <v>2</v>
      </c>
      <c r="K23" s="23">
        <f>I14/H14</f>
        <v>0.94989561586638838</v>
      </c>
      <c r="M23" s="31" t="s">
        <v>70</v>
      </c>
      <c r="N23" s="33"/>
      <c r="P23" s="31" t="s">
        <v>71</v>
      </c>
      <c r="Q23" s="32"/>
      <c r="R23" s="32"/>
      <c r="S23" s="32"/>
      <c r="T23" s="32"/>
      <c r="U23" s="33"/>
      <c r="X23" s="31" t="s">
        <v>103</v>
      </c>
      <c r="Y23" s="33"/>
      <c r="AA23" s="31" t="s">
        <v>106</v>
      </c>
      <c r="AB23" s="32"/>
      <c r="AC23" s="32"/>
      <c r="AD23" s="32"/>
      <c r="AE23" s="32"/>
      <c r="AF23" s="33"/>
      <c r="AJ23" s="5"/>
      <c r="AL23" s="61">
        <f>AL11-AK11</f>
        <v>-2.4991358024691408</v>
      </c>
      <c r="AN23" s="66">
        <f>AN10-AM10</f>
        <v>-2.6111111111111143</v>
      </c>
      <c r="AO23" s="6"/>
      <c r="AQ23" t="s">
        <v>245</v>
      </c>
    </row>
    <row r="24" spans="4:43" x14ac:dyDescent="0.2">
      <c r="D24" s="25" t="s">
        <v>2</v>
      </c>
      <c r="E24" s="22">
        <f>F16/E16</f>
        <v>0.95</v>
      </c>
      <c r="F24" s="20" t="s">
        <v>1</v>
      </c>
      <c r="G24" s="20">
        <f>G15/F16</f>
        <v>1.1000000000000001</v>
      </c>
      <c r="H24" s="22" t="s">
        <v>2</v>
      </c>
      <c r="I24" s="22">
        <f>H15/G15</f>
        <v>0.95004784688995214</v>
      </c>
      <c r="J24" s="20" t="s">
        <v>1</v>
      </c>
      <c r="K24" s="21">
        <f>I14/H15</f>
        <v>1.0999194198227236</v>
      </c>
      <c r="M24" s="51" t="s">
        <v>153</v>
      </c>
      <c r="N24" s="18">
        <v>60</v>
      </c>
      <c r="P24" s="5" t="s">
        <v>3</v>
      </c>
      <c r="Q24" s="22">
        <v>0</v>
      </c>
      <c r="R24" s="22">
        <v>1</v>
      </c>
      <c r="S24" s="22">
        <v>2</v>
      </c>
      <c r="T24" s="22">
        <v>3</v>
      </c>
      <c r="U24" s="23">
        <v>4</v>
      </c>
      <c r="W24" s="46" t="s">
        <v>107</v>
      </c>
      <c r="X24" s="51" t="s">
        <v>153</v>
      </c>
      <c r="Y24" s="18">
        <v>55</v>
      </c>
      <c r="AA24" s="5" t="s">
        <v>3</v>
      </c>
      <c r="AB24" s="22">
        <v>0</v>
      </c>
      <c r="AC24" s="22">
        <v>1</v>
      </c>
      <c r="AD24" s="22">
        <v>2</v>
      </c>
      <c r="AE24" s="22">
        <v>3</v>
      </c>
      <c r="AF24" s="23">
        <v>4</v>
      </c>
      <c r="AJ24" s="5"/>
      <c r="AN24" s="63">
        <f>AN10-AM11</f>
        <v>4.5111111111111057</v>
      </c>
      <c r="AO24" s="67">
        <f>AO10-AN10</f>
        <v>-2.480000000000004</v>
      </c>
      <c r="AP24" t="s">
        <v>237</v>
      </c>
      <c r="AQ24" t="s">
        <v>246</v>
      </c>
    </row>
    <row r="25" spans="4:43" x14ac:dyDescent="0.2">
      <c r="D25" s="5"/>
      <c r="F25" s="22" t="s">
        <v>2</v>
      </c>
      <c r="G25" s="22">
        <f>G16/F16</f>
        <v>0.95010526315789479</v>
      </c>
      <c r="H25" s="20" t="s">
        <v>1</v>
      </c>
      <c r="I25" s="20">
        <f>H15/G16</f>
        <v>1.09993352537115</v>
      </c>
      <c r="J25" s="22" t="s">
        <v>2</v>
      </c>
      <c r="K25" s="23">
        <f>I15/H15</f>
        <v>0.95004029008863811</v>
      </c>
      <c r="M25" s="5" t="s">
        <v>69</v>
      </c>
      <c r="N25" s="19">
        <v>3</v>
      </c>
      <c r="P25" s="5"/>
      <c r="U25" s="6">
        <f>MAX($N$24-I12,0)</f>
        <v>0</v>
      </c>
      <c r="X25" s="5" t="s">
        <v>69</v>
      </c>
      <c r="Y25" s="19">
        <v>3</v>
      </c>
      <c r="AA25" s="5"/>
      <c r="AF25" s="6">
        <f t="shared" ref="AF25:AF29" si="6">MAX($Y$24-I12,0)</f>
        <v>0</v>
      </c>
      <c r="AJ25" s="5"/>
      <c r="AM25" s="61">
        <f>AM11-AL11</f>
        <v>-2.3740740740740733</v>
      </c>
      <c r="AO25" s="64">
        <f>AO10-AN11</f>
        <v>4.2866666666666617</v>
      </c>
      <c r="AP25" t="s">
        <v>238</v>
      </c>
    </row>
    <row r="26" spans="4:43" x14ac:dyDescent="0.2">
      <c r="D26" s="5"/>
      <c r="H26" s="22" t="s">
        <v>2</v>
      </c>
      <c r="I26" s="22">
        <f>H16/G16</f>
        <v>0.94992244626634159</v>
      </c>
      <c r="J26" s="20" t="s">
        <v>1</v>
      </c>
      <c r="K26" s="21">
        <f>I15/H16</f>
        <v>1.100069979006298</v>
      </c>
      <c r="M26" s="13" t="s">
        <v>91</v>
      </c>
      <c r="N26" s="15">
        <f>Q29</f>
        <v>10.481125907463564</v>
      </c>
      <c r="P26" s="5"/>
      <c r="T26">
        <f>(H91*U25+N91*U26)/(1+$E$6)</f>
        <v>0</v>
      </c>
      <c r="U26" s="6">
        <f>MAX($N$24-I13,0)</f>
        <v>0</v>
      </c>
      <c r="X26" s="13" t="s">
        <v>91</v>
      </c>
      <c r="Y26" s="15">
        <f>AB29</f>
        <v>6.0369155868883446</v>
      </c>
      <c r="AA26" s="5"/>
      <c r="AE26">
        <f>MAX(((H91*AF25+N91*AF26)/(1+$E$6)),0,($Y$24-H13))</f>
        <v>0</v>
      </c>
      <c r="AF26" s="6">
        <f t="shared" si="6"/>
        <v>0</v>
      </c>
      <c r="AJ26" s="5"/>
      <c r="AN26" s="61">
        <f>AN11-AM11</f>
        <v>-2.25555555555556</v>
      </c>
      <c r="AO26" s="6"/>
    </row>
    <row r="27" spans="4:43" x14ac:dyDescent="0.2">
      <c r="D27" s="13"/>
      <c r="E27" s="14"/>
      <c r="F27" s="14"/>
      <c r="G27" s="14"/>
      <c r="H27" s="14"/>
      <c r="I27" s="14"/>
      <c r="J27" s="26" t="s">
        <v>2</v>
      </c>
      <c r="K27" s="24">
        <f>I16/H16</f>
        <v>0.95008164217401447</v>
      </c>
      <c r="P27" s="5"/>
      <c r="S27">
        <f>(G92*T26+M92*T27)/(1+$E$6)</f>
        <v>2.3985372854084095</v>
      </c>
      <c r="T27">
        <f>(H92*U26+N92*U27)/(1+$E$6)</f>
        <v>3.5958236658932718</v>
      </c>
      <c r="U27" s="6">
        <f t="shared" ref="U27:U29" si="7">MAX($N$24-I14,0)</f>
        <v>5.3999999999999986</v>
      </c>
      <c r="AA27" s="5"/>
      <c r="AD27">
        <f>MAX(((G92*AE26+M92*AE27)/(1+$E$6)),0,($Y$24-G14))</f>
        <v>0.17766942854877049</v>
      </c>
      <c r="AE27">
        <f>MAX(((H92*AF26+N92*AF27)/(1+$E$6)),0,($Y$24-H14))</f>
        <v>0.26635730858468593</v>
      </c>
      <c r="AF27" s="6">
        <f t="shared" si="6"/>
        <v>0.39999999999999858</v>
      </c>
      <c r="AJ27" s="13"/>
      <c r="AK27" s="14"/>
      <c r="AL27" s="14"/>
      <c r="AM27" s="14"/>
      <c r="AN27" s="14"/>
      <c r="AO27" s="62">
        <f>AO11-AN11</f>
        <v>-2.143333333333338</v>
      </c>
      <c r="AP27" t="s">
        <v>239</v>
      </c>
    </row>
    <row r="28" spans="4:43" x14ac:dyDescent="0.2">
      <c r="P28" s="5"/>
      <c r="R28">
        <f>(F93*S27+L93*S28)/(1+$E$6)</f>
        <v>6.2049460822093874</v>
      </c>
      <c r="S28">
        <f>(G93*T27+M93*T28)/(1+$E$6)</f>
        <v>8.1081504806098756</v>
      </c>
      <c r="T28">
        <f>(H93*U27+N93*U28)/(1+$E$6)</f>
        <v>10.36</v>
      </c>
      <c r="U28" s="6">
        <f t="shared" si="7"/>
        <v>12.840000000000003</v>
      </c>
      <c r="AA28" s="5"/>
      <c r="AC28">
        <f>MAX(((F93*AD27+L93*AD28)/(1+$E$6)),0,($Y$24-F15))</f>
        <v>2.5020796543637078</v>
      </c>
      <c r="AD28">
        <f>MAX(((G93*AE27+M93*AE28)/(1+$E$6)),0,($Y$24-G15))</f>
        <v>3.6642847672711758</v>
      </c>
      <c r="AE28">
        <f>MAX(((H93*AF27+N93*AF28)/(1+$E$6)),0,($Y$24-H15))</f>
        <v>5.3599999999999994</v>
      </c>
      <c r="AF28" s="6">
        <f t="shared" si="6"/>
        <v>7.8400000000000034</v>
      </c>
    </row>
    <row r="29" spans="4:43" x14ac:dyDescent="0.2">
      <c r="D29" s="31" t="s">
        <v>74</v>
      </c>
      <c r="E29" s="32"/>
      <c r="F29" s="32"/>
      <c r="G29" s="33"/>
      <c r="H29" t="s">
        <v>165</v>
      </c>
      <c r="P29" s="13"/>
      <c r="Q29" s="14">
        <f>(E94*R28+K94*R29)/(1+$E$6)</f>
        <v>10.481125907463564</v>
      </c>
      <c r="R29" s="14">
        <f>(F94*S28+L94*S29)/(1+$E$6)</f>
        <v>12.61921582009065</v>
      </c>
      <c r="S29" s="14">
        <f>(G94*T28+M94*T29)/(1+$E$6)</f>
        <v>14.869999999999997</v>
      </c>
      <c r="T29" s="14">
        <f>(H94*U28+N94*U29)/(1+$E$6)</f>
        <v>17.130000000000003</v>
      </c>
      <c r="U29" s="15">
        <f t="shared" si="7"/>
        <v>19.270000000000003</v>
      </c>
      <c r="AA29" s="13"/>
      <c r="AB29" s="14">
        <f>MAX(((E94*AC28+K94*AC29)/(1+$E$6)),0,($Y$24-E16))</f>
        <v>6.0369155868883446</v>
      </c>
      <c r="AC29" s="14">
        <f>MAX(((F94*AD28+L94*AD29)/(1+$E$6)),0,($Y$24-F16))</f>
        <v>7.804333553150661</v>
      </c>
      <c r="AD29" s="14">
        <f>MAX(((G94*AE28+M94*AE29)/(1+$E$6)),0,($Y$24-G16))</f>
        <v>9.8699999999999992</v>
      </c>
      <c r="AE29" s="14">
        <f>MAX(((H94*AF28+N94*AF29)/(1+$E$6)),0,($Y$24-H16))</f>
        <v>12.130000000000003</v>
      </c>
      <c r="AF29" s="15">
        <f t="shared" si="6"/>
        <v>14.270000000000003</v>
      </c>
    </row>
    <row r="30" spans="4:43" x14ac:dyDescent="0.2">
      <c r="D30" s="5" t="s">
        <v>73</v>
      </c>
      <c r="E30">
        <f>N8</f>
        <v>0.48112590746356115</v>
      </c>
      <c r="F30" t="s">
        <v>75</v>
      </c>
      <c r="G30" s="43">
        <f>-E16+(1/((1+E6)^N7))*N6+E30</f>
        <v>10.481125907463561</v>
      </c>
      <c r="H30">
        <f>IF(AND(E30&lt;=G31+0.00001,E30&gt;=G31-0.0000001),0,1)</f>
        <v>0</v>
      </c>
      <c r="AJ30" s="31" t="s">
        <v>226</v>
      </c>
      <c r="AK30" s="32"/>
      <c r="AL30" s="32"/>
      <c r="AM30" s="32"/>
      <c r="AN30" s="32"/>
      <c r="AO30" s="33"/>
    </row>
    <row r="31" spans="4:43" x14ac:dyDescent="0.2">
      <c r="D31" s="13" t="s">
        <v>72</v>
      </c>
      <c r="E31" s="14">
        <f>N18</f>
        <v>10.481125907463564</v>
      </c>
      <c r="F31" s="14" t="s">
        <v>76</v>
      </c>
      <c r="G31" s="44">
        <f>E16-(1/((1+E6)^N7))*N6+E31</f>
        <v>0.48112590746356432</v>
      </c>
      <c r="H31">
        <f>IF(AND(E31&lt;=G30+0.00001,E31&gt;=G30-0.0000001),0,1)</f>
        <v>0</v>
      </c>
      <c r="AJ31" s="5" t="s">
        <v>3</v>
      </c>
      <c r="AK31" s="22">
        <v>0</v>
      </c>
      <c r="AL31" s="22">
        <v>1</v>
      </c>
      <c r="AM31" s="22">
        <v>2</v>
      </c>
      <c r="AN31" s="22">
        <v>3</v>
      </c>
      <c r="AO31" s="23">
        <v>4</v>
      </c>
    </row>
    <row r="32" spans="4:43" x14ac:dyDescent="0.2">
      <c r="AJ32" s="5"/>
      <c r="AO32" s="64">
        <f>-AO16</f>
        <v>-6.6599999999999966</v>
      </c>
      <c r="AP32" t="s">
        <v>232</v>
      </c>
    </row>
    <row r="33" spans="3:42" x14ac:dyDescent="0.2">
      <c r="C33" s="50" t="s">
        <v>231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AJ33" s="5"/>
      <c r="AN33" s="63">
        <f>-AN17</f>
        <v>-6.0511111111111049</v>
      </c>
      <c r="AO33" s="6"/>
    </row>
    <row r="34" spans="3:42" x14ac:dyDescent="0.2">
      <c r="D34" t="s">
        <v>99</v>
      </c>
      <c r="H34" t="s">
        <v>100</v>
      </c>
      <c r="Q34" t="s">
        <v>109</v>
      </c>
      <c r="U34" t="s">
        <v>110</v>
      </c>
      <c r="AJ34" s="5"/>
      <c r="AM34" s="63">
        <f>-AM18</f>
        <v>-5.4985185185185159</v>
      </c>
      <c r="AO34" s="67">
        <f>-AO18</f>
        <v>3.3299999999999983</v>
      </c>
      <c r="AP34" t="s">
        <v>233</v>
      </c>
    </row>
    <row r="35" spans="3:42" x14ac:dyDescent="0.2">
      <c r="D35" s="28" t="s">
        <v>88</v>
      </c>
      <c r="E35" s="30"/>
      <c r="H35" s="31" t="s">
        <v>89</v>
      </c>
      <c r="I35" s="33"/>
      <c r="Q35" s="28" t="s">
        <v>88</v>
      </c>
      <c r="R35" s="30"/>
      <c r="U35" s="31" t="s">
        <v>89</v>
      </c>
      <c r="V35" s="33"/>
      <c r="AJ35" s="5"/>
      <c r="AN35" s="66">
        <f>-AN19</f>
        <v>3.025555555555556</v>
      </c>
      <c r="AO35" s="64">
        <f>-AO19</f>
        <v>-5.7466666666666626</v>
      </c>
      <c r="AP35" t="s">
        <v>234</v>
      </c>
    </row>
    <row r="36" spans="3:42" x14ac:dyDescent="0.2">
      <c r="D36" s="40" t="s">
        <v>112</v>
      </c>
      <c r="E36" s="41">
        <f>$G$14</f>
        <v>60.5</v>
      </c>
      <c r="H36" s="40" t="s">
        <v>112</v>
      </c>
      <c r="I36" s="41">
        <f>$G$14</f>
        <v>60.5</v>
      </c>
      <c r="Q36" s="40" t="s">
        <v>112</v>
      </c>
      <c r="R36" s="41">
        <f>$G$14</f>
        <v>60.5</v>
      </c>
      <c r="U36" s="40" t="s">
        <v>112</v>
      </c>
      <c r="V36" s="41">
        <f>$G$14</f>
        <v>60.5</v>
      </c>
      <c r="AJ36" s="5"/>
      <c r="AL36" s="63">
        <f>-AL20</f>
        <v>-4.9982716049382674</v>
      </c>
      <c r="AN36" s="63">
        <f>-AN20</f>
        <v>-5.2222222222222214</v>
      </c>
      <c r="AO36" s="6"/>
    </row>
    <row r="37" spans="3:42" x14ac:dyDescent="0.2">
      <c r="D37" s="5" t="s">
        <v>78</v>
      </c>
      <c r="E37" s="6">
        <f>($T$8-$T$9)/($H$13-$H$14)</f>
        <v>0.60354755613084077</v>
      </c>
      <c r="H37" s="5" t="s">
        <v>78</v>
      </c>
      <c r="I37" s="6">
        <f>($T$18-$T$19)/($H$13-$H$14)</f>
        <v>-0.39645244386915895</v>
      </c>
      <c r="Q37" s="5" t="s">
        <v>78</v>
      </c>
      <c r="R37" s="6">
        <f>($AE$8-$AE$9)/($H$13-$H$14)</f>
        <v>0.97063315230598812</v>
      </c>
      <c r="U37" s="5" t="s">
        <v>78</v>
      </c>
      <c r="V37" s="6">
        <f>($AE$18-$AE$19)/($H$13-$H$14)</f>
        <v>-2.9366847694011679E-2</v>
      </c>
      <c r="AJ37" s="5"/>
      <c r="AK37" s="22">
        <v>0</v>
      </c>
      <c r="AM37" s="66">
        <f>-AM21</f>
        <v>2.7492592592592615</v>
      </c>
      <c r="AO37" s="67">
        <f>-AO21</f>
        <v>2.8733333333333348</v>
      </c>
      <c r="AP37" t="s">
        <v>235</v>
      </c>
    </row>
    <row r="38" spans="3:42" x14ac:dyDescent="0.2">
      <c r="D38" s="5" t="s">
        <v>134</v>
      </c>
      <c r="E38" s="6">
        <f>($T$8-$E$37*$H$13)/(1+$E$6)</f>
        <v>-33.616089860507451</v>
      </c>
      <c r="F38" t="s">
        <v>117</v>
      </c>
      <c r="H38" s="5" t="s">
        <v>134</v>
      </c>
      <c r="I38" s="6">
        <f>($T$18-I$37*$H$13)/(1+$E$6)</f>
        <v>26.383910139492528</v>
      </c>
      <c r="J38" t="s">
        <v>123</v>
      </c>
      <c r="Q38" s="5" t="s">
        <v>134</v>
      </c>
      <c r="R38" s="6">
        <f>($AE$8-R$37*$H$13)/(1+$E$6)</f>
        <v>-53.045636285963511</v>
      </c>
      <c r="S38" t="s">
        <v>117</v>
      </c>
      <c r="U38" s="5" t="s">
        <v>134</v>
      </c>
      <c r="V38" s="6">
        <f>($AE$18-V$37*$H$13)/(1+$E$6)</f>
        <v>1.9543637140364771</v>
      </c>
      <c r="W38" t="s">
        <v>123</v>
      </c>
      <c r="AJ38" s="5"/>
      <c r="AM38" s="63">
        <f>-AM22</f>
        <v>-4.7481481481481467</v>
      </c>
      <c r="AO38" s="64">
        <f>-AO22</f>
        <v>-4.9600000000000009</v>
      </c>
      <c r="AP38" t="s">
        <v>236</v>
      </c>
    </row>
    <row r="39" spans="3:42" x14ac:dyDescent="0.2">
      <c r="D39" s="13" t="s">
        <v>134</v>
      </c>
      <c r="E39" s="15">
        <f>($T$9-$E$37*$H$14)/(1+$E$6)</f>
        <v>-33.616089860507458</v>
      </c>
      <c r="F39" t="s">
        <v>119</v>
      </c>
      <c r="H39" s="13" t="s">
        <v>134</v>
      </c>
      <c r="I39" s="15">
        <f>($T$19-I$37*$H$14)/(1+$E$6)</f>
        <v>26.383910139492524</v>
      </c>
      <c r="J39" t="s">
        <v>124</v>
      </c>
      <c r="Q39" s="13" t="s">
        <v>134</v>
      </c>
      <c r="R39" s="15">
        <f>($AE$9-R$37*$H$14)/(1+$E$6)</f>
        <v>-53.045636285963511</v>
      </c>
      <c r="S39" t="s">
        <v>119</v>
      </c>
      <c r="U39" s="13" t="s">
        <v>134</v>
      </c>
      <c r="V39" s="15">
        <f>($AE$19-V$37*$H$14)/(1+$E$6)</f>
        <v>1.9543637140364771</v>
      </c>
      <c r="W39" t="s">
        <v>124</v>
      </c>
      <c r="AJ39" s="5"/>
      <c r="AL39" s="61">
        <f>-AL23</f>
        <v>2.4991358024691408</v>
      </c>
      <c r="AN39" s="66">
        <f>-AN23</f>
        <v>2.6111111111111143</v>
      </c>
      <c r="AO39" s="6"/>
    </row>
    <row r="40" spans="3:42" x14ac:dyDescent="0.2">
      <c r="D40" s="5"/>
      <c r="E40" s="6"/>
      <c r="H40" s="5"/>
      <c r="I40" s="6"/>
      <c r="Q40" s="5"/>
      <c r="R40" s="6"/>
      <c r="U40" s="5"/>
      <c r="V40" s="6"/>
      <c r="AJ40" s="5"/>
      <c r="AN40" s="63">
        <f>-AN24</f>
        <v>-4.5111111111111057</v>
      </c>
      <c r="AO40" s="67">
        <f>-AO24</f>
        <v>2.480000000000004</v>
      </c>
      <c r="AP40" t="s">
        <v>237</v>
      </c>
    </row>
    <row r="41" spans="3:42" x14ac:dyDescent="0.2">
      <c r="D41" s="40" t="s">
        <v>113</v>
      </c>
      <c r="E41" s="41">
        <f>$G$15</f>
        <v>52.25</v>
      </c>
      <c r="H41" s="40" t="s">
        <v>113</v>
      </c>
      <c r="I41" s="41">
        <f>$G$15</f>
        <v>52.25</v>
      </c>
      <c r="Q41" s="40" t="s">
        <v>113</v>
      </c>
      <c r="R41" s="41">
        <f>$G$15</f>
        <v>52.25</v>
      </c>
      <c r="U41" s="40" t="s">
        <v>113</v>
      </c>
      <c r="V41" s="41">
        <f>$G$15</f>
        <v>52.25</v>
      </c>
      <c r="AJ41" s="5"/>
      <c r="AM41" s="61">
        <f>-AM25</f>
        <v>2.3740740740740733</v>
      </c>
      <c r="AO41" s="64">
        <f>-AO25</f>
        <v>-4.2866666666666617</v>
      </c>
      <c r="AP41" t="s">
        <v>238</v>
      </c>
    </row>
    <row r="42" spans="3:42" x14ac:dyDescent="0.2">
      <c r="D42" s="5" t="s">
        <v>78</v>
      </c>
      <c r="E42" s="6">
        <f>($T$9-$T$10)/($H$14-$H$15)</f>
        <v>0.13722240636393762</v>
      </c>
      <c r="H42" s="5" t="s">
        <v>78</v>
      </c>
      <c r="I42" s="6">
        <f>($T$19-$T$20)/($H$14-$H$15)</f>
        <v>-0.86277759363606255</v>
      </c>
      <c r="Q42" s="5" t="s">
        <v>78</v>
      </c>
      <c r="R42" s="6">
        <f>($AE$9-$AE$10)/($H$14-$H$15)</f>
        <v>0.35030067711539364</v>
      </c>
      <c r="U42" s="5" t="s">
        <v>78</v>
      </c>
      <c r="V42" s="6">
        <f>($AE$19-$AE$20)/($H$14-$H$15)</f>
        <v>-0.64969932288460663</v>
      </c>
      <c r="AJ42" s="5"/>
      <c r="AN42" s="61">
        <f>-AN26</f>
        <v>2.25555555555556</v>
      </c>
      <c r="AO42" s="6"/>
    </row>
    <row r="43" spans="3:42" x14ac:dyDescent="0.2">
      <c r="D43" s="5" t="s">
        <v>134</v>
      </c>
      <c r="E43" s="6">
        <f>($T$9-$E$42*$H$14)/(1+$E$6)</f>
        <v>-6.8117202519058644</v>
      </c>
      <c r="F43" t="s">
        <v>118</v>
      </c>
      <c r="H43" s="5" t="s">
        <v>134</v>
      </c>
      <c r="I43" s="6">
        <f>($T$19-I$42*$H$14)/(1+$E$6)</f>
        <v>53.188279748094146</v>
      </c>
      <c r="J43" t="s">
        <v>125</v>
      </c>
      <c r="Q43" s="5" t="s">
        <v>134</v>
      </c>
      <c r="R43" s="6">
        <f>($AE$9-R$42*$H$14)/(1+$E$6)</f>
        <v>-17.388925612008141</v>
      </c>
      <c r="S43" t="s">
        <v>118</v>
      </c>
      <c r="U43" s="5" t="s">
        <v>134</v>
      </c>
      <c r="V43" s="6">
        <f>($AE$19-V$42*$H$14)/(1+$E$6)</f>
        <v>37.611074387991877</v>
      </c>
      <c r="W43" t="s">
        <v>125</v>
      </c>
      <c r="AJ43" s="13"/>
      <c r="AK43" s="14"/>
      <c r="AL43" s="14"/>
      <c r="AM43" s="14"/>
      <c r="AN43" s="14"/>
      <c r="AO43" s="62">
        <f>-AO27</f>
        <v>2.143333333333338</v>
      </c>
      <c r="AP43" t="s">
        <v>239</v>
      </c>
    </row>
    <row r="44" spans="3:42" x14ac:dyDescent="0.2">
      <c r="D44" s="13" t="s">
        <v>134</v>
      </c>
      <c r="E44" s="15">
        <f>($T$10-$E$42*$H$15)/(1+$E$6)</f>
        <v>-6.8117202519058635</v>
      </c>
      <c r="F44" t="s">
        <v>120</v>
      </c>
      <c r="H44" s="13" t="s">
        <v>134</v>
      </c>
      <c r="I44" s="15">
        <f>($T$20-I$42*$H$15)/(1+$E$6)</f>
        <v>53.188279748094146</v>
      </c>
      <c r="J44" t="s">
        <v>126</v>
      </c>
      <c r="Q44" s="13" t="s">
        <v>134</v>
      </c>
      <c r="R44" s="15">
        <f>($AE$10-R$42*$H$15)/(1+$E$6)</f>
        <v>-17.388925612008141</v>
      </c>
      <c r="S44" t="s">
        <v>120</v>
      </c>
      <c r="U44" s="13" t="s">
        <v>134</v>
      </c>
      <c r="V44" s="15">
        <f>($AE$20-V$42*$H$15)/(1+$E$6)</f>
        <v>37.61107438799187</v>
      </c>
      <c r="W44" t="s">
        <v>126</v>
      </c>
    </row>
    <row r="45" spans="3:42" x14ac:dyDescent="0.2">
      <c r="D45" s="5"/>
      <c r="E45" s="6"/>
      <c r="H45" s="5"/>
      <c r="I45" s="6"/>
      <c r="Q45" s="5"/>
      <c r="R45" s="6"/>
      <c r="U45" s="5"/>
      <c r="V45" s="6"/>
    </row>
    <row r="46" spans="3:42" x14ac:dyDescent="0.2">
      <c r="D46" s="40" t="s">
        <v>114</v>
      </c>
      <c r="E46" s="41">
        <f>$G$16</f>
        <v>45.13</v>
      </c>
      <c r="H46" s="40" t="s">
        <v>114</v>
      </c>
      <c r="I46" s="41">
        <f>$G$16</f>
        <v>45.13</v>
      </c>
      <c r="Q46" s="40" t="s">
        <v>114</v>
      </c>
      <c r="R46" s="41">
        <f>$G$16</f>
        <v>45.13</v>
      </c>
      <c r="U46" s="40" t="s">
        <v>114</v>
      </c>
      <c r="V46" s="41">
        <f>$G$16</f>
        <v>45.13</v>
      </c>
    </row>
    <row r="47" spans="3:42" x14ac:dyDescent="0.2">
      <c r="D47" s="5" t="s">
        <v>78</v>
      </c>
      <c r="E47" s="6">
        <f>($T$10-$T$11)/($H$15-$H$16)</f>
        <v>0</v>
      </c>
      <c r="H47" s="5" t="s">
        <v>78</v>
      </c>
      <c r="I47" s="6">
        <f>($T$20-$T$21)/($H$15-$H$16)</f>
        <v>-1</v>
      </c>
      <c r="Q47" s="5" t="s">
        <v>78</v>
      </c>
      <c r="R47" s="6">
        <f>($AE$10-$AE$11)/($H$15-$H$16)</f>
        <v>0</v>
      </c>
      <c r="U47" s="5" t="s">
        <v>78</v>
      </c>
      <c r="V47" s="6">
        <f>($AE$20-$AE$21)/($H$15-$H$16)</f>
        <v>-1</v>
      </c>
    </row>
    <row r="48" spans="3:42" x14ac:dyDescent="0.2">
      <c r="D48" s="5" t="s">
        <v>134</v>
      </c>
      <c r="E48" s="6">
        <f>($T$10-$E$47*$H$15)/(1+$E$6)</f>
        <v>0</v>
      </c>
      <c r="F48" t="s">
        <v>121</v>
      </c>
      <c r="H48" s="5" t="s">
        <v>134</v>
      </c>
      <c r="I48" s="6">
        <f>($T$20-I$47*$H$15)/(1+$E$6)</f>
        <v>60</v>
      </c>
      <c r="J48" t="s">
        <v>127</v>
      </c>
      <c r="Q48" s="5" t="s">
        <v>134</v>
      </c>
      <c r="R48" s="6">
        <f>($AE$10-R$47*$H$15)/(1+$E$6)</f>
        <v>0</v>
      </c>
      <c r="S48" t="s">
        <v>121</v>
      </c>
      <c r="U48" s="5" t="s">
        <v>134</v>
      </c>
      <c r="V48" s="6">
        <f>($AE$20-V$47*$H$15)/(1+$E$6)</f>
        <v>55</v>
      </c>
      <c r="W48" t="s">
        <v>127</v>
      </c>
    </row>
    <row r="49" spans="4:23" x14ac:dyDescent="0.2">
      <c r="D49" s="13" t="s">
        <v>134</v>
      </c>
      <c r="E49" s="15">
        <f>($T$11-$E$47*$H$16)/(1+$E$6)</f>
        <v>0</v>
      </c>
      <c r="F49" t="s">
        <v>122</v>
      </c>
      <c r="H49" s="13" t="s">
        <v>134</v>
      </c>
      <c r="I49" s="15">
        <f>($T$21-I$47*$H$16)/(1+$E$6)</f>
        <v>60</v>
      </c>
      <c r="J49" t="s">
        <v>128</v>
      </c>
      <c r="Q49" s="13" t="s">
        <v>134</v>
      </c>
      <c r="R49" s="15">
        <f>($AE$11-R$47*$H$16)/(1+$E$6)</f>
        <v>0</v>
      </c>
      <c r="S49" t="s">
        <v>122</v>
      </c>
      <c r="U49" s="13" t="s">
        <v>134</v>
      </c>
      <c r="V49" s="15">
        <f>($AE$21-V$47*$H$16)/(1+$E$6)</f>
        <v>55</v>
      </c>
      <c r="W49" t="s">
        <v>128</v>
      </c>
    </row>
    <row r="50" spans="4:23" x14ac:dyDescent="0.2">
      <c r="D50" s="5"/>
      <c r="E50" s="6"/>
      <c r="H50" s="5"/>
      <c r="I50" s="6"/>
      <c r="Q50" s="5"/>
      <c r="R50" s="6"/>
      <c r="U50" s="5"/>
      <c r="V50" s="6"/>
    </row>
    <row r="51" spans="4:23" x14ac:dyDescent="0.2">
      <c r="D51" s="40" t="s">
        <v>115</v>
      </c>
      <c r="E51" s="41">
        <f>$F$15</f>
        <v>55</v>
      </c>
      <c r="H51" s="40" t="s">
        <v>115</v>
      </c>
      <c r="I51" s="41">
        <f>$F$15</f>
        <v>55</v>
      </c>
      <c r="Q51" s="40" t="s">
        <v>115</v>
      </c>
      <c r="R51" s="41">
        <f>$F$15</f>
        <v>55</v>
      </c>
      <c r="U51" s="40" t="s">
        <v>115</v>
      </c>
      <c r="V51" s="41">
        <f>$F$15</f>
        <v>55</v>
      </c>
    </row>
    <row r="52" spans="4:23" x14ac:dyDescent="0.2">
      <c r="D52" s="5" t="s">
        <v>78</v>
      </c>
      <c r="E52" s="6">
        <f>($S$9-$S$10)/($G$14-$G$15)</f>
        <v>0.30792567330891341</v>
      </c>
      <c r="H52" s="5" t="s">
        <v>78</v>
      </c>
      <c r="I52" s="6">
        <f>($S$19-$S$20)/($G$14-$G$15)</f>
        <v>-0.69207432669108682</v>
      </c>
      <c r="Q52" s="5" t="s">
        <v>78</v>
      </c>
      <c r="R52" s="6">
        <f>($AD$9-$AD$10)/($G$14-$G$15)</f>
        <v>0.57737995894273897</v>
      </c>
      <c r="U52" s="5" t="s">
        <v>78</v>
      </c>
      <c r="V52" s="6">
        <f>($AD$19-$AD$20)/($G$14-$G$15)</f>
        <v>-0.42262004105726125</v>
      </c>
    </row>
    <row r="53" spans="4:23" x14ac:dyDescent="0.2">
      <c r="D53" s="5" t="s">
        <v>134</v>
      </c>
      <c r="E53" s="6">
        <f>($S$9-$E$52*$G$14)/(1+$E$6)</f>
        <v>-15.730965949780849</v>
      </c>
      <c r="F53" t="s">
        <v>80</v>
      </c>
      <c r="H53" s="5" t="s">
        <v>134</v>
      </c>
      <c r="I53" s="6">
        <f>($S$19-I$52*$G$14)/(1+$E$6)</f>
        <v>44.269034050219162</v>
      </c>
      <c r="J53" t="s">
        <v>92</v>
      </c>
      <c r="Q53" s="5" t="s">
        <v>134</v>
      </c>
      <c r="R53" s="6">
        <f>($AD$9-R$52*$G$14)/(1+$E$6)</f>
        <v>-29.253818087486934</v>
      </c>
      <c r="S53" t="s">
        <v>80</v>
      </c>
      <c r="U53" s="5" t="s">
        <v>134</v>
      </c>
      <c r="V53" s="6">
        <f>($AD$19-V$52*$G$14)/(1+$E$6)</f>
        <v>25.746181912513077</v>
      </c>
      <c r="W53" t="s">
        <v>92</v>
      </c>
    </row>
    <row r="54" spans="4:23" x14ac:dyDescent="0.2">
      <c r="D54" s="13" t="s">
        <v>134</v>
      </c>
      <c r="E54" s="15">
        <f>($S$10-$E$52*$G$15)/(1+$E$6)</f>
        <v>-15.730965949780847</v>
      </c>
      <c r="F54" t="s">
        <v>79</v>
      </c>
      <c r="H54" s="13" t="s">
        <v>134</v>
      </c>
      <c r="I54" s="15">
        <f>($S$20-I$52*$G$15)/(1+$E$6)</f>
        <v>44.269034050219162</v>
      </c>
      <c r="J54" t="s">
        <v>93</v>
      </c>
      <c r="Q54" s="13" t="s">
        <v>134</v>
      </c>
      <c r="R54" s="15">
        <f>($AD$10-R$52*$G$15)/(1+$E$6)</f>
        <v>-29.253818087486934</v>
      </c>
      <c r="S54" t="s">
        <v>79</v>
      </c>
      <c r="U54" s="13" t="s">
        <v>134</v>
      </c>
      <c r="V54" s="15">
        <f>($AD$20-V$52*$G$15)/(1+$E$6)</f>
        <v>25.746181912513077</v>
      </c>
      <c r="W54" t="s">
        <v>93</v>
      </c>
    </row>
    <row r="55" spans="4:23" x14ac:dyDescent="0.2">
      <c r="D55" s="5"/>
      <c r="E55" s="6"/>
      <c r="H55" s="5"/>
      <c r="I55" s="6"/>
      <c r="Q55" s="5"/>
      <c r="R55" s="6"/>
      <c r="U55" s="5"/>
      <c r="V55" s="6"/>
    </row>
    <row r="56" spans="4:23" x14ac:dyDescent="0.2">
      <c r="D56" s="40" t="s">
        <v>116</v>
      </c>
      <c r="E56" s="41">
        <f>$F$16</f>
        <v>47.5</v>
      </c>
      <c r="H56" s="40" t="s">
        <v>116</v>
      </c>
      <c r="I56" s="41">
        <f>$F$16</f>
        <v>47.5</v>
      </c>
      <c r="Q56" s="40" t="s">
        <v>116</v>
      </c>
      <c r="R56" s="41">
        <f>$F$16</f>
        <v>47.5</v>
      </c>
      <c r="U56" s="40" t="s">
        <v>116</v>
      </c>
      <c r="V56" s="41">
        <f>$F$16</f>
        <v>47.5</v>
      </c>
    </row>
    <row r="57" spans="4:23" x14ac:dyDescent="0.2">
      <c r="D57" s="5" t="s">
        <v>78</v>
      </c>
      <c r="E57" s="6">
        <f>($S$10-$S$11)/($G$15-$G$16)</f>
        <v>5.0302033793522105E-2</v>
      </c>
      <c r="H57" s="5" t="s">
        <v>78</v>
      </c>
      <c r="I57" s="6">
        <f>($S$20-$S$21)/($G$15-$G$16)</f>
        <v>-0.94969796620647817</v>
      </c>
      <c r="Q57" s="5" t="s">
        <v>78</v>
      </c>
      <c r="R57" s="6">
        <f>($AD$10-$AD$11)/($G$15-$G$16)</f>
        <v>0.12841078192010927</v>
      </c>
      <c r="U57" s="5" t="s">
        <v>78</v>
      </c>
      <c r="V57" s="6">
        <f>($AD$20-$AD$21)/($G$15-$G$16)</f>
        <v>-0.8715892180798912</v>
      </c>
    </row>
    <row r="58" spans="4:23" x14ac:dyDescent="0.2">
      <c r="D58" s="5" t="s">
        <v>134</v>
      </c>
      <c r="E58" s="6">
        <f>($S$10-$E$57*$G$15)/(1+$E$6)</f>
        <v>-2.2701307851016526</v>
      </c>
      <c r="F58" t="s">
        <v>83</v>
      </c>
      <c r="H58" s="5" t="s">
        <v>134</v>
      </c>
      <c r="I58" s="6">
        <f>($S$20-I$57*$G$15)/(1+$E$6)</f>
        <v>57.729869214898358</v>
      </c>
      <c r="J58" t="s">
        <v>94</v>
      </c>
      <c r="Q58" s="5" t="s">
        <v>134</v>
      </c>
      <c r="R58" s="6">
        <f>($AD$10-R$57*$G$15)/(1+$E$6)</f>
        <v>-5.7951785880545321</v>
      </c>
      <c r="S58" t="s">
        <v>83</v>
      </c>
      <c r="U58" s="5" t="s">
        <v>134</v>
      </c>
      <c r="V58" s="6">
        <f>($AD$20-V$57*$G$15)/(1+$E$6)</f>
        <v>49.204821411945495</v>
      </c>
      <c r="W58" t="s">
        <v>94</v>
      </c>
    </row>
    <row r="59" spans="4:23" x14ac:dyDescent="0.2">
      <c r="D59" s="13" t="s">
        <v>134</v>
      </c>
      <c r="E59" s="15">
        <f>($S$11-$E$57*$G$16)/(1+$E$6)</f>
        <v>-2.2701307851016526</v>
      </c>
      <c r="F59" t="s">
        <v>84</v>
      </c>
      <c r="H59" s="13" t="s">
        <v>134</v>
      </c>
      <c r="I59" s="15">
        <f>($S$21-I$57*$G$16)/(1+$E$6)</f>
        <v>57.729869214898358</v>
      </c>
      <c r="J59" t="s">
        <v>95</v>
      </c>
      <c r="Q59" s="13" t="s">
        <v>134</v>
      </c>
      <c r="R59" s="15">
        <f>($AD$11-R$57*$G$16)/(1+$E$6)</f>
        <v>-5.7951785880545312</v>
      </c>
      <c r="S59" t="s">
        <v>84</v>
      </c>
      <c r="U59" s="13" t="s">
        <v>134</v>
      </c>
      <c r="V59" s="15">
        <f>($AD$21-V$57*$G$16)/(1+$E$6)</f>
        <v>49.204821411945488</v>
      </c>
      <c r="W59" t="s">
        <v>95</v>
      </c>
    </row>
    <row r="60" spans="4:23" x14ac:dyDescent="0.2">
      <c r="D60" s="5"/>
      <c r="E60" s="6"/>
      <c r="H60" s="5"/>
      <c r="I60" s="6"/>
      <c r="Q60" s="5"/>
      <c r="R60" s="6"/>
      <c r="U60" s="5"/>
      <c r="V60" s="6"/>
    </row>
    <row r="61" spans="4:23" x14ac:dyDescent="0.2">
      <c r="D61" s="40" t="s">
        <v>85</v>
      </c>
      <c r="E61" s="41">
        <f>$E$16</f>
        <v>50</v>
      </c>
      <c r="H61" s="40" t="s">
        <v>85</v>
      </c>
      <c r="I61" s="41">
        <f>$E$16</f>
        <v>50</v>
      </c>
      <c r="Q61" s="40" t="s">
        <v>85</v>
      </c>
      <c r="R61" s="41">
        <f>$E$16</f>
        <v>50</v>
      </c>
      <c r="U61" s="40" t="s">
        <v>85</v>
      </c>
      <c r="V61" s="41">
        <f>$E$16</f>
        <v>50</v>
      </c>
    </row>
    <row r="62" spans="4:23" x14ac:dyDescent="0.2">
      <c r="D62" s="5" t="s">
        <v>78</v>
      </c>
      <c r="E62" s="6">
        <f>($R$10-$R$11)/($F$15-$F$16)</f>
        <v>0.14476403494916559</v>
      </c>
      <c r="H62" s="5" t="s">
        <v>78</v>
      </c>
      <c r="I62" s="6">
        <f>($R$20-$R$21)/($F$15-$F$16)</f>
        <v>-0.85523596505083499</v>
      </c>
      <c r="Q62" s="5" t="s">
        <v>78</v>
      </c>
      <c r="R62" s="6">
        <f>($AC$10-$AC$11)/($F$15-$F$16)</f>
        <v>0.29303281349507349</v>
      </c>
      <c r="U62" s="5" t="s">
        <v>78</v>
      </c>
      <c r="V62" s="6">
        <f>($AC$20-$AC$21)/($F$15-$F$16)</f>
        <v>-0.70696718650492707</v>
      </c>
    </row>
    <row r="63" spans="4:23" x14ac:dyDescent="0.2">
      <c r="D63" s="5" t="s">
        <v>134</v>
      </c>
      <c r="E63" s="6">
        <f>($R$10-$E$62*$F$15)/(1+$E$6)</f>
        <v>-6.7570758399947186</v>
      </c>
      <c r="F63" t="s">
        <v>86</v>
      </c>
      <c r="H63" s="5" t="s">
        <v>134</v>
      </c>
      <c r="I63" s="6">
        <f>($R$20-I$62*$F$15)/(1+$E$6)</f>
        <v>53.242924160005316</v>
      </c>
      <c r="J63" t="s">
        <v>96</v>
      </c>
      <c r="Q63" s="5" t="s">
        <v>134</v>
      </c>
      <c r="R63" s="6">
        <f>($AC$10-R$62*$F$15)/(1+$E$6)</f>
        <v>-13.614725087865333</v>
      </c>
      <c r="S63" t="s">
        <v>86</v>
      </c>
      <c r="U63" s="5" t="s">
        <v>134</v>
      </c>
      <c r="V63" s="6">
        <f>($AC$20-V$62*$F$15)/(1+$E$6)</f>
        <v>41.38527491213469</v>
      </c>
      <c r="W63" t="s">
        <v>96</v>
      </c>
    </row>
    <row r="64" spans="4:23" x14ac:dyDescent="0.2">
      <c r="D64" s="13" t="s">
        <v>134</v>
      </c>
      <c r="E64" s="15">
        <f>($R$11-$E$62*$F$16)/(1+$E$6)</f>
        <v>-6.7570758399947186</v>
      </c>
      <c r="F64" t="s">
        <v>87</v>
      </c>
      <c r="H64" s="13" t="s">
        <v>134</v>
      </c>
      <c r="I64" s="15">
        <f>($R$21-I$62*$F$16)/(1+$E$6)</f>
        <v>53.242924160005316</v>
      </c>
      <c r="J64" t="s">
        <v>97</v>
      </c>
      <c r="Q64" s="13" t="s">
        <v>134</v>
      </c>
      <c r="R64" s="15">
        <f>($AC$11-R$62*$F$16)/(1+$E$6)</f>
        <v>-13.614725087865331</v>
      </c>
      <c r="S64" t="s">
        <v>87</v>
      </c>
      <c r="U64" s="13" t="s">
        <v>134</v>
      </c>
      <c r="V64" s="15">
        <f>($AC$21-V$62*$F$16)/(1+$E$6)</f>
        <v>41.385274912134697</v>
      </c>
      <c r="W64" t="s">
        <v>97</v>
      </c>
    </row>
    <row r="65" spans="4:22" x14ac:dyDescent="0.2">
      <c r="D65" s="50"/>
      <c r="E65" s="50"/>
      <c r="H65" s="50"/>
      <c r="I65" s="50"/>
      <c r="Q65" s="50"/>
      <c r="R65" s="50"/>
      <c r="U65" s="50"/>
      <c r="V65" s="50"/>
    </row>
    <row r="66" spans="4:22" x14ac:dyDescent="0.2">
      <c r="D66" s="40" t="s">
        <v>138</v>
      </c>
      <c r="E66" s="41">
        <f>H13</f>
        <v>66.55</v>
      </c>
      <c r="H66" s="40" t="s">
        <v>138</v>
      </c>
      <c r="I66" s="41">
        <f>H13</f>
        <v>66.55</v>
      </c>
    </row>
    <row r="67" spans="4:22" x14ac:dyDescent="0.2">
      <c r="D67" s="5" t="s">
        <v>78</v>
      </c>
      <c r="E67" s="6">
        <f>($U$7-$U$8)/($I$12-$I$13)</f>
        <v>1</v>
      </c>
      <c r="H67" s="5" t="s">
        <v>78</v>
      </c>
      <c r="I67" s="6">
        <f>($U$17-$U$18)/($I$12-$I$13)</f>
        <v>0</v>
      </c>
    </row>
    <row r="68" spans="4:22" x14ac:dyDescent="0.2">
      <c r="D68" s="5" t="s">
        <v>134</v>
      </c>
      <c r="E68" s="6">
        <f>($U$7-$E$67*$I$12)/(1+$E$6)</f>
        <v>-60</v>
      </c>
      <c r="F68" t="s">
        <v>139</v>
      </c>
      <c r="H68" s="5" t="s">
        <v>134</v>
      </c>
      <c r="I68" s="6">
        <f>($U$17-$I$67*$I$12)/(1+$E$6)</f>
        <v>0</v>
      </c>
      <c r="J68" t="s">
        <v>148</v>
      </c>
    </row>
    <row r="69" spans="4:22" x14ac:dyDescent="0.2">
      <c r="D69" s="13" t="s">
        <v>134</v>
      </c>
      <c r="E69" s="15">
        <f>($U$8-$E$67*$I$13)/(1+$E$6)</f>
        <v>-60</v>
      </c>
      <c r="F69" t="s">
        <v>140</v>
      </c>
      <c r="H69" s="13" t="s">
        <v>134</v>
      </c>
      <c r="I69" s="15">
        <f>($U$18-$I$67*$I$13)/(1+$E$6)</f>
        <v>0</v>
      </c>
      <c r="J69" t="s">
        <v>149</v>
      </c>
    </row>
    <row r="71" spans="4:22" x14ac:dyDescent="0.2">
      <c r="D71" s="40" t="s">
        <v>141</v>
      </c>
      <c r="E71" s="41">
        <f>H14</f>
        <v>57.48</v>
      </c>
      <c r="H71" s="40" t="s">
        <v>141</v>
      </c>
      <c r="I71" s="41">
        <f>H14</f>
        <v>57.48</v>
      </c>
    </row>
    <row r="72" spans="4:22" x14ac:dyDescent="0.2">
      <c r="D72" s="5" t="s">
        <v>78</v>
      </c>
      <c r="E72" s="6">
        <f>($U$8-$U$9)/($I$13-$I$14)</f>
        <v>0.37354988399071926</v>
      </c>
      <c r="H72" s="5" t="s">
        <v>78</v>
      </c>
      <c r="I72" s="6">
        <f>($U$18-$U$19)/($I$13-$I$14)</f>
        <v>-0.6264501160092808</v>
      </c>
    </row>
    <row r="73" spans="4:22" x14ac:dyDescent="0.2">
      <c r="D73" s="5" t="s">
        <v>134</v>
      </c>
      <c r="E73" s="6">
        <f>($U$8-$E$72*$I$13)/(1+$E$6)</f>
        <v>-20.395823665893271</v>
      </c>
      <c r="F73" t="s">
        <v>140</v>
      </c>
      <c r="H73" s="5" t="s">
        <v>134</v>
      </c>
      <c r="I73" s="6">
        <f>($U$18-$I$72*$I$13)/(1+$E$6)</f>
        <v>39.604176334106732</v>
      </c>
      <c r="J73" t="s">
        <v>149</v>
      </c>
    </row>
    <row r="74" spans="4:22" x14ac:dyDescent="0.2">
      <c r="D74" s="13" t="s">
        <v>134</v>
      </c>
      <c r="E74" s="15">
        <f>($U$9-$E$72*$I$14)/(1+$E$6)</f>
        <v>-20.395823665893271</v>
      </c>
      <c r="F74" t="s">
        <v>142</v>
      </c>
      <c r="H74" s="13" t="s">
        <v>134</v>
      </c>
      <c r="I74" s="15">
        <f>($U$19-$I$72*$I$14)/(1+$E$6)</f>
        <v>39.604176334106732</v>
      </c>
      <c r="J74" t="s">
        <v>150</v>
      </c>
    </row>
    <row r="76" spans="4:22" x14ac:dyDescent="0.2">
      <c r="D76" s="40" t="s">
        <v>144</v>
      </c>
      <c r="E76" s="41">
        <f>H15</f>
        <v>49.64</v>
      </c>
      <c r="H76" s="40" t="s">
        <v>144</v>
      </c>
      <c r="I76" s="41">
        <f>H15</f>
        <v>49.64</v>
      </c>
    </row>
    <row r="77" spans="4:22" x14ac:dyDescent="0.2">
      <c r="D77" s="5" t="s">
        <v>78</v>
      </c>
      <c r="E77" s="6">
        <f>($U$9-$U$10)/($I$14-$I$15)</f>
        <v>0</v>
      </c>
      <c r="H77" s="5" t="s">
        <v>78</v>
      </c>
      <c r="I77" s="6">
        <f>($U$19-$U$20)/($I$14-$I$15)</f>
        <v>-1</v>
      </c>
    </row>
    <row r="78" spans="4:22" x14ac:dyDescent="0.2">
      <c r="D78" s="5" t="s">
        <v>134</v>
      </c>
      <c r="E78" s="6">
        <f>($U$9-$E$77*$I$14)/(1+$E$6)</f>
        <v>0</v>
      </c>
      <c r="F78" t="s">
        <v>142</v>
      </c>
      <c r="H78" s="5" t="s">
        <v>134</v>
      </c>
      <c r="I78" s="6">
        <f>($U$19-$I$77*$I$14)/(1+$E$6)</f>
        <v>60</v>
      </c>
      <c r="J78" t="s">
        <v>150</v>
      </c>
    </row>
    <row r="79" spans="4:22" x14ac:dyDescent="0.2">
      <c r="D79" s="13" t="s">
        <v>134</v>
      </c>
      <c r="E79" s="15">
        <f>($U$10-$E$77*$I$15)/(1+$E$6)</f>
        <v>0</v>
      </c>
      <c r="F79" t="s">
        <v>146</v>
      </c>
      <c r="H79" s="13" t="s">
        <v>134</v>
      </c>
      <c r="I79" s="15">
        <f>($U$20-$I$77*$I$15)/(1+$E$6)</f>
        <v>60</v>
      </c>
      <c r="J79" t="s">
        <v>151</v>
      </c>
    </row>
    <row r="81" spans="4:19" x14ac:dyDescent="0.2">
      <c r="D81" s="40" t="s">
        <v>145</v>
      </c>
      <c r="E81" s="41">
        <f>H16</f>
        <v>42.87</v>
      </c>
      <c r="H81" s="40" t="s">
        <v>145</v>
      </c>
      <c r="I81" s="41">
        <f>H16</f>
        <v>42.87</v>
      </c>
    </row>
    <row r="82" spans="4:19" x14ac:dyDescent="0.2">
      <c r="D82" s="5" t="s">
        <v>78</v>
      </c>
      <c r="E82" s="6">
        <f>($U$10-$U$11)/($I$15-$I$16)</f>
        <v>0</v>
      </c>
      <c r="H82" s="5" t="s">
        <v>78</v>
      </c>
      <c r="I82" s="6">
        <f>($U$20-$U$21)/($I$15-$I$16)</f>
        <v>-1</v>
      </c>
    </row>
    <row r="83" spans="4:19" x14ac:dyDescent="0.2">
      <c r="D83" s="5" t="s">
        <v>134</v>
      </c>
      <c r="E83" s="6">
        <f>($U$10-$E$82*$I$15)/(1+$E$6)</f>
        <v>0</v>
      </c>
      <c r="F83" t="s">
        <v>146</v>
      </c>
      <c r="H83" s="5" t="s">
        <v>134</v>
      </c>
      <c r="I83" s="6">
        <f>($U$20-$I$82*$I$15)/(1+$E$6)</f>
        <v>60</v>
      </c>
      <c r="J83" t="s">
        <v>151</v>
      </c>
    </row>
    <row r="84" spans="4:19" x14ac:dyDescent="0.2">
      <c r="D84" s="13" t="s">
        <v>134</v>
      </c>
      <c r="E84" s="15">
        <f>($U$11-$E$82*$I$16)/(1+$E$6)</f>
        <v>0</v>
      </c>
      <c r="F84" t="s">
        <v>147</v>
      </c>
      <c r="H84" s="13" t="s">
        <v>134</v>
      </c>
      <c r="I84" s="15">
        <f>($U$21-$I$82*$I$16)/(1+$E$6)</f>
        <v>60</v>
      </c>
      <c r="J84" t="s">
        <v>152</v>
      </c>
    </row>
    <row r="88" spans="4:19" x14ac:dyDescent="0.2">
      <c r="Q88" t="s">
        <v>224</v>
      </c>
    </row>
    <row r="89" spans="4:19" x14ac:dyDescent="0.2">
      <c r="D89" s="2" t="s">
        <v>129</v>
      </c>
      <c r="E89" s="3"/>
      <c r="F89" s="3"/>
      <c r="G89" s="3"/>
      <c r="H89" s="4"/>
      <c r="J89" s="2" t="s">
        <v>130</v>
      </c>
      <c r="K89" s="3"/>
      <c r="L89" s="3"/>
      <c r="M89" s="3"/>
      <c r="N89" s="4"/>
      <c r="Q89" s="52" t="s">
        <v>159</v>
      </c>
      <c r="R89" s="52"/>
      <c r="S89" s="52"/>
    </row>
    <row r="90" spans="4:19" x14ac:dyDescent="0.2">
      <c r="D90" s="5" t="s">
        <v>3</v>
      </c>
      <c r="E90" s="22">
        <v>0</v>
      </c>
      <c r="F90" s="22">
        <v>1</v>
      </c>
      <c r="G90" s="22">
        <v>2</v>
      </c>
      <c r="H90" s="23">
        <v>3</v>
      </c>
      <c r="J90" s="5" t="s">
        <v>3</v>
      </c>
      <c r="K90" s="22">
        <v>0</v>
      </c>
      <c r="L90" s="22">
        <v>1</v>
      </c>
      <c r="M90" s="22">
        <v>2</v>
      </c>
      <c r="N90" s="23">
        <v>3</v>
      </c>
      <c r="Q90" s="53" t="s">
        <v>160</v>
      </c>
      <c r="R90" s="54"/>
      <c r="S90" s="52"/>
    </row>
    <row r="91" spans="4:19" x14ac:dyDescent="0.2">
      <c r="D91" s="5"/>
      <c r="H91" s="6">
        <f>(1+$E$6-K21)/(K20-K21)</f>
        <v>0.33333333333333331</v>
      </c>
      <c r="J91" s="5"/>
      <c r="N91" s="6">
        <f>1-H91</f>
        <v>0.66666666666666674</v>
      </c>
      <c r="Q91" s="51" t="s">
        <v>153</v>
      </c>
      <c r="R91" s="55">
        <f>N6</f>
        <v>60</v>
      </c>
      <c r="S91" s="52"/>
    </row>
    <row r="92" spans="4:19" x14ac:dyDescent="0.2">
      <c r="D92" s="5"/>
      <c r="G92">
        <f>(1+$E$6-I22)/(I21-I22)</f>
        <v>0.33296582138919573</v>
      </c>
      <c r="H92" s="6">
        <f>(1+$E$6-K23)/(K22-K23)</f>
        <v>0.33410672853828288</v>
      </c>
      <c r="J92" s="5"/>
      <c r="M92">
        <f>1-G92</f>
        <v>0.66703417861080427</v>
      </c>
      <c r="N92" s="6">
        <f t="shared" ref="N92:N94" si="8">1-H92</f>
        <v>0.66589327146171717</v>
      </c>
      <c r="Q92" s="56" t="s">
        <v>154</v>
      </c>
      <c r="R92" s="57">
        <f>N8-N18</f>
        <v>-10.000000000000004</v>
      </c>
      <c r="S92" s="52"/>
    </row>
    <row r="93" spans="4:19" x14ac:dyDescent="0.2">
      <c r="D93" s="5"/>
      <c r="F93">
        <f>(1+$E$6-G23)/(G22-G23)</f>
        <v>0.33333333333333331</v>
      </c>
      <c r="G93">
        <f>(1+$E$6-I24)/(I23-I24)</f>
        <v>0.33290816326530631</v>
      </c>
      <c r="H93" s="6">
        <f>(1+$E$6-K25)/(K24-K25)</f>
        <v>0.33333333333333381</v>
      </c>
      <c r="J93" s="5"/>
      <c r="L93">
        <f>1-F93</f>
        <v>0.66666666666666674</v>
      </c>
      <c r="M93">
        <f>1-G93</f>
        <v>0.66709183673469363</v>
      </c>
      <c r="N93" s="6">
        <f t="shared" si="8"/>
        <v>0.66666666666666619</v>
      </c>
      <c r="Q93" s="52"/>
      <c r="R93" s="52"/>
      <c r="S93" s="52"/>
    </row>
    <row r="94" spans="4:19" x14ac:dyDescent="0.2">
      <c r="D94" s="13"/>
      <c r="E94" s="14">
        <f>(1+$E$6-E24)/(E23-E24)</f>
        <v>0.33333333333333331</v>
      </c>
      <c r="F94" s="14">
        <f>(1+$E$6-G25)/(G24-G25)</f>
        <v>0.33286516853932541</v>
      </c>
      <c r="G94" s="14">
        <f>(1+$E$6-I26)/(I25-I26)</f>
        <v>0.33382570162481584</v>
      </c>
      <c r="H94" s="15">
        <f>(1+$E$6-K27)/(K26-K27)</f>
        <v>0.33281493001555229</v>
      </c>
      <c r="J94" s="13"/>
      <c r="K94" s="14">
        <f>1-E94</f>
        <v>0.66666666666666674</v>
      </c>
      <c r="L94" s="14">
        <f>1-F94</f>
        <v>0.66713483146067465</v>
      </c>
      <c r="M94" s="14">
        <f>1-G94</f>
        <v>0.66617429837518416</v>
      </c>
      <c r="N94" s="15">
        <f t="shared" si="8"/>
        <v>0.66718506998444771</v>
      </c>
      <c r="Q94" s="53" t="s">
        <v>161</v>
      </c>
      <c r="R94" s="54"/>
      <c r="S94" s="52"/>
    </row>
    <row r="95" spans="4:19" x14ac:dyDescent="0.2">
      <c r="Q95" s="51" t="s">
        <v>153</v>
      </c>
      <c r="R95" s="55">
        <f>N6</f>
        <v>60</v>
      </c>
      <c r="S95" s="52"/>
    </row>
    <row r="96" spans="4:19" x14ac:dyDescent="0.2">
      <c r="Q96" s="56" t="s">
        <v>154</v>
      </c>
      <c r="R96" s="57">
        <f>N18-N8</f>
        <v>10.000000000000004</v>
      </c>
      <c r="S96" s="52"/>
    </row>
    <row r="97" spans="4:19" x14ac:dyDescent="0.2">
      <c r="Q97" s="52"/>
      <c r="R97" s="52"/>
      <c r="S97" s="52"/>
    </row>
    <row r="98" spans="4:19" x14ac:dyDescent="0.2">
      <c r="D98" s="2" t="s">
        <v>131</v>
      </c>
      <c r="E98" s="3" t="s">
        <v>132</v>
      </c>
      <c r="F98" s="3"/>
      <c r="G98" s="3"/>
      <c r="H98" s="4"/>
      <c r="Q98" s="53" t="s">
        <v>220</v>
      </c>
      <c r="R98" s="54"/>
      <c r="S98" s="52"/>
    </row>
    <row r="99" spans="4:19" x14ac:dyDescent="0.2">
      <c r="D99" s="5" t="s">
        <v>3</v>
      </c>
      <c r="E99" s="22">
        <v>0</v>
      </c>
      <c r="F99" s="22">
        <v>1</v>
      </c>
      <c r="G99" s="22">
        <v>2</v>
      </c>
      <c r="H99" s="23">
        <v>3</v>
      </c>
      <c r="Q99" s="51" t="s">
        <v>155</v>
      </c>
      <c r="R99" s="55">
        <f>N6</f>
        <v>60</v>
      </c>
      <c r="S99" s="52" t="s">
        <v>157</v>
      </c>
    </row>
    <row r="100" spans="4:19" x14ac:dyDescent="0.2">
      <c r="D100" s="5"/>
      <c r="H100" s="43">
        <f>IF(AND(K21&lt;(1+$E$6),(1+$E$6)&lt;K20),0,1)</f>
        <v>0</v>
      </c>
      <c r="Q100" s="51" t="s">
        <v>156</v>
      </c>
      <c r="R100" s="55">
        <f>N24</f>
        <v>60</v>
      </c>
      <c r="S100" s="52" t="s">
        <v>158</v>
      </c>
    </row>
    <row r="101" spans="4:19" x14ac:dyDescent="0.2">
      <c r="D101" s="5"/>
      <c r="G101" s="46">
        <f>IF(AND(I22&lt;(1+$E$6),(1+$E$6)&lt;I21),0,1)</f>
        <v>0</v>
      </c>
      <c r="H101" s="43">
        <f>IF(AND(K23&lt;(1+$E$6),(1+$E$6)&lt;K22),0,1)</f>
        <v>0</v>
      </c>
      <c r="Q101" s="56" t="s">
        <v>154</v>
      </c>
      <c r="R101" s="57">
        <f>N8-N26</f>
        <v>-10.000000000000004</v>
      </c>
      <c r="S101" s="52"/>
    </row>
    <row r="102" spans="4:19" x14ac:dyDescent="0.2">
      <c r="D102" s="5"/>
      <c r="F102" s="46">
        <f>IF(AND(G23&lt;(1+$E$6),(1+$E$6)&lt;G22),0,1)</f>
        <v>0</v>
      </c>
      <c r="G102" s="46">
        <f>IF(AND(I24&lt;(1+$E$6),(1+$E$6)&lt;I23),0,1)</f>
        <v>0</v>
      </c>
      <c r="H102" s="43">
        <f>IF(AND(K25&lt;(1+$E$6),(1+$E$6)&lt;K24),0,1)</f>
        <v>0</v>
      </c>
      <c r="Q102" s="52"/>
      <c r="R102" s="52"/>
      <c r="S102" s="52"/>
    </row>
    <row r="103" spans="4:19" x14ac:dyDescent="0.2">
      <c r="D103" s="13"/>
      <c r="E103" s="47">
        <f>IF(AND(E24&lt;(1+$E$6),(1+$E$6)&lt;E23),0,1)</f>
        <v>0</v>
      </c>
      <c r="F103" s="47">
        <f>IF(AND(G25&lt;(1+$E$6),(1+$E$6)&lt;G24),0,1)</f>
        <v>0</v>
      </c>
      <c r="G103" s="47">
        <f>IF(AND(I26&lt;(1+$E$6),(1+$E$6)&lt;I25),0,1)</f>
        <v>0</v>
      </c>
      <c r="H103" s="44">
        <f>IF(AND(K27&lt;(1+$E$6),(1+$E$6)&lt;K26),0,1)</f>
        <v>0</v>
      </c>
      <c r="Q103" s="53" t="s">
        <v>221</v>
      </c>
      <c r="R103" s="54"/>
      <c r="S103" s="52"/>
    </row>
    <row r="104" spans="4:19" x14ac:dyDescent="0.2">
      <c r="D104" t="s">
        <v>133</v>
      </c>
      <c r="Q104" s="51" t="s">
        <v>155</v>
      </c>
      <c r="R104" s="55">
        <f>N24</f>
        <v>60</v>
      </c>
      <c r="S104" s="52" t="s">
        <v>158</v>
      </c>
    </row>
    <row r="105" spans="4:19" x14ac:dyDescent="0.2">
      <c r="Q105" s="51" t="s">
        <v>156</v>
      </c>
      <c r="R105" s="55">
        <f>N6</f>
        <v>60</v>
      </c>
      <c r="S105" s="52" t="s">
        <v>157</v>
      </c>
    </row>
    <row r="106" spans="4:19" x14ac:dyDescent="0.2">
      <c r="Q106" s="56" t="s">
        <v>154</v>
      </c>
      <c r="R106" s="57">
        <f>N26-N8</f>
        <v>10.000000000000004</v>
      </c>
      <c r="S106" s="52"/>
    </row>
    <row r="107" spans="4:19" x14ac:dyDescent="0.2">
      <c r="Q107" s="58" t="s">
        <v>164</v>
      </c>
      <c r="R107" s="52"/>
      <c r="S107" s="5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5C89-54AD-304B-AA93-76E8302102B4}">
  <dimension ref="C6:U45"/>
  <sheetViews>
    <sheetView topLeftCell="A2" zoomScale="125" workbookViewId="0">
      <selection activeCell="D27" sqref="D27"/>
    </sheetView>
  </sheetViews>
  <sheetFormatPr baseColWidth="10" defaultRowHeight="16" x14ac:dyDescent="0.2"/>
  <cols>
    <col min="14" max="14" width="19.5" customWidth="1"/>
    <col min="15" max="15" width="11.1640625" customWidth="1"/>
    <col min="16" max="16" width="12.5" customWidth="1"/>
    <col min="17" max="17" width="18.83203125" customWidth="1"/>
    <col min="19" max="19" width="13.5" customWidth="1"/>
    <col min="20" max="20" width="11.5" customWidth="1"/>
  </cols>
  <sheetData>
    <row r="6" spans="3:21" x14ac:dyDescent="0.2">
      <c r="C6" s="31" t="s">
        <v>168</v>
      </c>
      <c r="D6" s="32"/>
      <c r="E6" s="32"/>
      <c r="F6" s="33"/>
      <c r="I6" s="31" t="s">
        <v>169</v>
      </c>
      <c r="J6" s="32"/>
      <c r="K6" s="33"/>
      <c r="N6" s="31" t="s">
        <v>194</v>
      </c>
      <c r="O6" s="33"/>
      <c r="Q6" s="31" t="s">
        <v>211</v>
      </c>
      <c r="R6" s="33"/>
      <c r="T6" s="31" t="s">
        <v>217</v>
      </c>
      <c r="U6" s="33"/>
    </row>
    <row r="7" spans="3:21" x14ac:dyDescent="0.2">
      <c r="C7" s="5" t="s">
        <v>3</v>
      </c>
      <c r="D7" s="22" t="s">
        <v>170</v>
      </c>
      <c r="E7" s="22" t="s">
        <v>171</v>
      </c>
      <c r="F7" s="23" t="s">
        <v>172</v>
      </c>
      <c r="I7" s="5" t="s">
        <v>3</v>
      </c>
      <c r="J7" s="22" t="s">
        <v>170</v>
      </c>
      <c r="K7" s="23" t="s">
        <v>171</v>
      </c>
      <c r="N7" s="5" t="s">
        <v>196</v>
      </c>
      <c r="O7" s="18">
        <v>1000</v>
      </c>
      <c r="Q7" s="13" t="s">
        <v>212</v>
      </c>
      <c r="R7" s="36">
        <v>343.20047</v>
      </c>
      <c r="T7" s="5" t="s">
        <v>216</v>
      </c>
      <c r="U7" s="6"/>
    </row>
    <row r="8" spans="3:21" x14ac:dyDescent="0.2">
      <c r="C8" s="5"/>
      <c r="F8" s="18">
        <v>0.03</v>
      </c>
      <c r="I8" s="5"/>
      <c r="K8" s="18">
        <v>0.5</v>
      </c>
      <c r="N8" s="5" t="s">
        <v>195</v>
      </c>
      <c r="O8" s="18">
        <v>1015</v>
      </c>
      <c r="Q8" t="s">
        <v>222</v>
      </c>
      <c r="T8" s="13" t="s">
        <v>218</v>
      </c>
      <c r="U8" s="15">
        <f>J9*K8*O18+J9*K10*O19+J12*K11*O19+J12*K13*O20</f>
        <v>336.63651451517183</v>
      </c>
    </row>
    <row r="9" spans="3:21" x14ac:dyDescent="0.2">
      <c r="C9" s="5"/>
      <c r="E9" s="7">
        <v>0.02</v>
      </c>
      <c r="F9" s="18">
        <v>0.01</v>
      </c>
      <c r="I9" s="5" t="s">
        <v>173</v>
      </c>
      <c r="J9" s="7">
        <v>0.3</v>
      </c>
      <c r="K9" s="6"/>
      <c r="N9" s="13" t="s">
        <v>201</v>
      </c>
      <c r="O9" s="15">
        <f>(O8-(((O7/3)*(1/(1+D22)))+((O7/3)*(1/((1+D23)^2)))+((O7/3)*(1/((1+D24)^3)))))/((O7/(1+D22))+(((O7*2)/3)/((1+D23)^2))+((O7/3)/((1+D24)^3)))</f>
        <v>2.9333331361880006E-2</v>
      </c>
      <c r="Q9" s="31" t="s">
        <v>213</v>
      </c>
      <c r="R9" s="33"/>
    </row>
    <row r="10" spans="3:21" x14ac:dyDescent="0.2">
      <c r="C10" s="13"/>
      <c r="D10" s="39">
        <v>0.01</v>
      </c>
      <c r="E10" s="39">
        <v>0.05</v>
      </c>
      <c r="F10" s="36">
        <v>2.5000000000000001E-2</v>
      </c>
      <c r="I10" s="5"/>
      <c r="K10" s="18">
        <v>0.5</v>
      </c>
      <c r="L10" t="s">
        <v>175</v>
      </c>
      <c r="Q10" s="5" t="s">
        <v>202</v>
      </c>
      <c r="R10" s="18">
        <v>332</v>
      </c>
    </row>
    <row r="11" spans="3:21" x14ac:dyDescent="0.2">
      <c r="I11" s="5"/>
      <c r="K11" s="18">
        <v>0.4</v>
      </c>
      <c r="L11" t="s">
        <v>176</v>
      </c>
      <c r="N11" s="31" t="s">
        <v>197</v>
      </c>
      <c r="O11" s="33"/>
      <c r="Q11" s="5" t="s">
        <v>203</v>
      </c>
      <c r="R11" s="6">
        <f>$R$7/(1+F8)</f>
        <v>333.20433980582521</v>
      </c>
      <c r="T11" s="31" t="s">
        <v>219</v>
      </c>
      <c r="U11" s="33"/>
    </row>
    <row r="12" spans="3:21" x14ac:dyDescent="0.2">
      <c r="I12" s="5" t="s">
        <v>174</v>
      </c>
      <c r="J12" s="7">
        <v>0.7</v>
      </c>
      <c r="K12" s="6"/>
      <c r="N12" s="5" t="s">
        <v>198</v>
      </c>
      <c r="O12" s="6">
        <f>(O7/3)+(O7*O9)</f>
        <v>362.66666469521334</v>
      </c>
      <c r="Q12" s="5" t="s">
        <v>206</v>
      </c>
      <c r="R12" s="6">
        <f>$R$7/(1+F9)</f>
        <v>339.80244554455447</v>
      </c>
      <c r="T12" s="5" t="s">
        <v>216</v>
      </c>
      <c r="U12" s="6"/>
    </row>
    <row r="13" spans="3:21" x14ac:dyDescent="0.2">
      <c r="I13" s="13"/>
      <c r="J13" s="14"/>
      <c r="K13" s="36">
        <v>0.6</v>
      </c>
      <c r="N13" s="5" t="s">
        <v>199</v>
      </c>
      <c r="O13" s="6">
        <f>(O7/3)+(((O7*2)/3)*O9)</f>
        <v>352.88888757458665</v>
      </c>
      <c r="Q13" s="5" t="s">
        <v>205</v>
      </c>
      <c r="R13" s="6">
        <f>$R$7/(1+F10)</f>
        <v>334.82972682926834</v>
      </c>
      <c r="T13" s="13" t="s">
        <v>218</v>
      </c>
      <c r="U13" s="15">
        <f>J9*K8*R11+J9*K10*R12+J12*K11*R12+J12*K13*R13</f>
        <v>336.72418782332488</v>
      </c>
    </row>
    <row r="14" spans="3:21" x14ac:dyDescent="0.2">
      <c r="N14" s="13" t="s">
        <v>200</v>
      </c>
      <c r="O14" s="15">
        <f>(O7/3)+((O7/3)*O9)</f>
        <v>343.11111045396001</v>
      </c>
      <c r="Q14" s="5" t="s">
        <v>207</v>
      </c>
      <c r="R14" s="6">
        <f>MAX(R11-$R$10,0)</f>
        <v>1.2043398058252137</v>
      </c>
    </row>
    <row r="15" spans="3:21" x14ac:dyDescent="0.2">
      <c r="Q15" s="5" t="s">
        <v>209</v>
      </c>
      <c r="R15" s="6">
        <f t="shared" ref="R15:R16" si="0">MAX(R12-$R$10,0)</f>
        <v>7.8024455445544731</v>
      </c>
    </row>
    <row r="16" spans="3:21" x14ac:dyDescent="0.2">
      <c r="C16" s="31" t="s">
        <v>177</v>
      </c>
      <c r="D16" s="33"/>
      <c r="H16" s="37" t="s">
        <v>185</v>
      </c>
      <c r="I16" s="59"/>
      <c r="N16" s="31" t="s">
        <v>204</v>
      </c>
      <c r="O16" s="33"/>
      <c r="Q16" s="5" t="s">
        <v>208</v>
      </c>
      <c r="R16" s="6">
        <f t="shared" si="0"/>
        <v>2.8297268292683384</v>
      </c>
    </row>
    <row r="17" spans="3:18" x14ac:dyDescent="0.2">
      <c r="C17" s="5" t="s">
        <v>178</v>
      </c>
      <c r="D17" s="6">
        <f>1/(1+D10)</f>
        <v>0.99009900990099009</v>
      </c>
      <c r="H17" s="5" t="s">
        <v>189</v>
      </c>
      <c r="I17" s="18">
        <v>5.0000000000000001E-3</v>
      </c>
      <c r="N17" s="5" t="s">
        <v>202</v>
      </c>
      <c r="O17" s="18">
        <v>332</v>
      </c>
      <c r="Q17" s="13" t="s">
        <v>210</v>
      </c>
      <c r="R17" s="15">
        <f>J9*K8*(R14/((1+D23)^2))+J9*K10*(R15/((1+D23)^2))+J12*K11*(R15/((1+D23)^2))+J12*K13*(R16/((1+D23)^2))</f>
        <v>4.4939856987559779</v>
      </c>
    </row>
    <row r="18" spans="3:18" x14ac:dyDescent="0.2">
      <c r="C18" s="5" t="s">
        <v>179</v>
      </c>
      <c r="D18" s="6">
        <f>J9*(1/((1+D10)*(1+E9)))+J12*(1/((1+D10)*(1+E10)))</f>
        <v>0.95127159774801007</v>
      </c>
      <c r="H18" s="5" t="s">
        <v>191</v>
      </c>
      <c r="I18" s="6">
        <f>D22-I17*1</f>
        <v>5.0000000000000088E-3</v>
      </c>
      <c r="N18" s="5" t="s">
        <v>203</v>
      </c>
      <c r="O18" s="6">
        <f>$O$14/(1+F8)</f>
        <v>333.11758296500972</v>
      </c>
    </row>
    <row r="19" spans="3:18" x14ac:dyDescent="0.2">
      <c r="C19" s="13" t="s">
        <v>180</v>
      </c>
      <c r="D19" s="15">
        <f>J9*K8*(1/((1+D10)*(1+E9)*(1+F8)))+J9*K10*(1/((1+D10)*(1+E9)*(1+F9)))+J12*K11*(1/((1+D10)*(1+E10)*(1+F9)))+J12*K13*(1/((1+D10)*(1+E10)*(1+F10)))</f>
        <v>0.93331550245310402</v>
      </c>
      <c r="H19" s="5" t="s">
        <v>190</v>
      </c>
      <c r="I19" s="6">
        <f>D23-I17*2</f>
        <v>1.5292392342749492E-2</v>
      </c>
      <c r="N19" s="5" t="s">
        <v>206</v>
      </c>
      <c r="O19" s="6">
        <f>$O$14/(1+F9)</f>
        <v>339.71397074649508</v>
      </c>
      <c r="Q19" s="31" t="s">
        <v>214</v>
      </c>
      <c r="R19" s="33"/>
    </row>
    <row r="20" spans="3:18" x14ac:dyDescent="0.2">
      <c r="H20" s="13" t="s">
        <v>192</v>
      </c>
      <c r="I20" s="15">
        <f>D24-I17*3</f>
        <v>8.2706244981493177E-3</v>
      </c>
      <c r="N20" s="5" t="s">
        <v>205</v>
      </c>
      <c r="O20" s="6">
        <f>$O$14/(1+F10)</f>
        <v>334.74254678435125</v>
      </c>
      <c r="Q20" s="13" t="s">
        <v>215</v>
      </c>
      <c r="R20" s="15">
        <f>R17-(R7/((1+D24)^3))+(1/((1+D23)^2)*R10)</f>
        <v>1.8370509038163618E-3</v>
      </c>
    </row>
    <row r="21" spans="3:18" x14ac:dyDescent="0.2">
      <c r="C21" s="31" t="s">
        <v>181</v>
      </c>
      <c r="D21" s="33"/>
      <c r="H21" s="46" t="s">
        <v>193</v>
      </c>
      <c r="N21" s="5" t="s">
        <v>207</v>
      </c>
      <c r="O21" s="6">
        <f>MAX(O18-$O$17,0)</f>
        <v>1.1175829650097171</v>
      </c>
    </row>
    <row r="22" spans="3:18" x14ac:dyDescent="0.2">
      <c r="C22" s="5" t="s">
        <v>182</v>
      </c>
      <c r="D22" s="6">
        <f>1/D17-1</f>
        <v>1.0000000000000009E-2</v>
      </c>
      <c r="N22" s="5" t="s">
        <v>209</v>
      </c>
      <c r="O22" s="6">
        <f>MAX(O19-$O$17,0)</f>
        <v>7.7139707464950789</v>
      </c>
    </row>
    <row r="23" spans="3:18" x14ac:dyDescent="0.2">
      <c r="C23" s="5" t="s">
        <v>183</v>
      </c>
      <c r="D23" s="6">
        <f>SQRT(1/D18)-1</f>
        <v>2.5292392342749492E-2</v>
      </c>
      <c r="N23" s="5" t="s">
        <v>208</v>
      </c>
      <c r="O23" s="6">
        <f t="shared" ref="O23" si="1">MAX(O20-$O$17,0)</f>
        <v>2.7425467843512479</v>
      </c>
    </row>
    <row r="24" spans="3:18" x14ac:dyDescent="0.2">
      <c r="C24" s="13" t="s">
        <v>184</v>
      </c>
      <c r="D24" s="15">
        <f>((1/D19)^(1/3))-1</f>
        <v>2.3270624498149317E-2</v>
      </c>
      <c r="N24" s="13" t="s">
        <v>210</v>
      </c>
      <c r="O24" s="15">
        <f>J9*K8*(O21/((1+D23)^2))+J9*K10*(O22/((1+D23)^2))+J12*K11*(O22/((1+D23)^2))+J12*K13*(O23/((1+D23)^2))</f>
        <v>4.4105845708293794</v>
      </c>
    </row>
    <row r="26" spans="3:18" x14ac:dyDescent="0.2">
      <c r="C26" s="31" t="s">
        <v>186</v>
      </c>
      <c r="D26" s="33"/>
      <c r="N26" s="31" t="s">
        <v>214</v>
      </c>
      <c r="O26" s="33"/>
    </row>
    <row r="27" spans="3:18" x14ac:dyDescent="0.2">
      <c r="C27" s="5" t="s">
        <v>356</v>
      </c>
      <c r="D27" s="6">
        <f>D10</f>
        <v>0.01</v>
      </c>
      <c r="E27" t="s">
        <v>357</v>
      </c>
      <c r="N27" s="13" t="s">
        <v>215</v>
      </c>
      <c r="O27" s="15">
        <f>O24-(O14/((1+D24)^3))+(1/((1+D23)^2)*O17)</f>
        <v>1.8365725885018946E-3</v>
      </c>
    </row>
    <row r="28" spans="3:18" x14ac:dyDescent="0.2">
      <c r="C28" s="5" t="s">
        <v>187</v>
      </c>
      <c r="D28" s="6">
        <f>(((1+D23)^2)/((1+D22)^1))^(1/(2-1))-1</f>
        <v>4.0816326530612512E-2</v>
      </c>
    </row>
    <row r="29" spans="3:18" x14ac:dyDescent="0.2">
      <c r="C29" s="13" t="s">
        <v>188</v>
      </c>
      <c r="D29" s="15">
        <f>((((1+D24)^3)/((1+D23)^2))^(1/(3-2)))-1</f>
        <v>1.9239041082796282E-2</v>
      </c>
    </row>
    <row r="32" spans="3:18" x14ac:dyDescent="0.2">
      <c r="C32" s="31" t="s">
        <v>248</v>
      </c>
      <c r="D32" s="32"/>
      <c r="E32" s="32"/>
      <c r="F32" s="32"/>
      <c r="G32" s="33"/>
    </row>
    <row r="33" spans="3:9" x14ac:dyDescent="0.2">
      <c r="C33" s="5" t="s">
        <v>3</v>
      </c>
      <c r="D33" s="22">
        <v>0</v>
      </c>
      <c r="E33" s="22">
        <v>1</v>
      </c>
      <c r="F33" s="22">
        <v>2</v>
      </c>
      <c r="G33" s="23">
        <v>3</v>
      </c>
      <c r="H33" s="69"/>
      <c r="I33" s="69"/>
    </row>
    <row r="34" spans="3:9" x14ac:dyDescent="0.2">
      <c r="C34" s="5"/>
      <c r="G34" s="6">
        <v>1</v>
      </c>
    </row>
    <row r="35" spans="3:9" x14ac:dyDescent="0.2">
      <c r="C35" s="5"/>
      <c r="F35">
        <f>1/(1+F8)</f>
        <v>0.970873786407767</v>
      </c>
      <c r="G35" s="6">
        <v>1</v>
      </c>
    </row>
    <row r="36" spans="3:9" x14ac:dyDescent="0.2">
      <c r="C36" s="5"/>
      <c r="E36">
        <f>(1/(1+E9))*(K8*F35+K10*F36)</f>
        <v>0.96126117466115535</v>
      </c>
      <c r="F36">
        <f>1/(1+F9)</f>
        <v>0.99009900990099009</v>
      </c>
      <c r="G36" s="55">
        <v>1</v>
      </c>
    </row>
    <row r="37" spans="3:9" x14ac:dyDescent="0.2">
      <c r="C37" s="13"/>
      <c r="D37" s="14">
        <f>(1/(1+D10))*(J9*E36+J12*E37)</f>
        <v>0.93331550245310391</v>
      </c>
      <c r="E37" s="14">
        <f>(1/(1+E10))*(K11*F36+K13*F37)</f>
        <v>0.93467186439898353</v>
      </c>
      <c r="F37" s="14">
        <f>1/(1+F10)</f>
        <v>0.97560975609756106</v>
      </c>
      <c r="G37" s="15">
        <v>1</v>
      </c>
    </row>
    <row r="41" spans="3:9" x14ac:dyDescent="0.2">
      <c r="C41" s="31" t="s">
        <v>249</v>
      </c>
      <c r="D41" s="32"/>
      <c r="E41" s="32"/>
      <c r="F41" s="33"/>
    </row>
    <row r="42" spans="3:9" x14ac:dyDescent="0.2">
      <c r="C42" s="5" t="s">
        <v>3</v>
      </c>
      <c r="D42" s="22">
        <v>0</v>
      </c>
      <c r="E42" s="22">
        <v>1</v>
      </c>
      <c r="F42" s="23">
        <v>2</v>
      </c>
    </row>
    <row r="43" spans="3:9" x14ac:dyDescent="0.2">
      <c r="C43" s="5"/>
      <c r="F43" s="6">
        <v>1</v>
      </c>
    </row>
    <row r="44" spans="3:9" x14ac:dyDescent="0.2">
      <c r="C44" s="5"/>
      <c r="E44">
        <f>(1/(1+E9))*(K8*F43+K10*F44)</f>
        <v>0.98039215686274506</v>
      </c>
      <c r="F44" s="6">
        <v>1</v>
      </c>
    </row>
    <row r="45" spans="3:9" x14ac:dyDescent="0.2">
      <c r="C45" s="13"/>
      <c r="D45" s="14">
        <f>(1/(1+D10))*(J9*E44+J12*E45)</f>
        <v>0.95127159774800996</v>
      </c>
      <c r="E45" s="14">
        <f>(1/(1+E10))*(K11*F44+K13*F45)</f>
        <v>0.95238095238095233</v>
      </c>
      <c r="F45" s="15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0FA9-5D2A-744E-8748-32A3F80E030C}">
  <dimension ref="A3:M32"/>
  <sheetViews>
    <sheetView topLeftCell="A4" zoomScale="119" workbookViewId="0">
      <selection activeCell="H18" sqref="H18"/>
    </sheetView>
  </sheetViews>
  <sheetFormatPr baseColWidth="10" defaultRowHeight="16" x14ac:dyDescent="0.2"/>
  <cols>
    <col min="7" max="7" width="12.1640625" customWidth="1"/>
    <col min="8" max="8" width="12.5" customWidth="1"/>
    <col min="9" max="9" width="13" customWidth="1"/>
  </cols>
  <sheetData>
    <row r="3" spans="3:13" x14ac:dyDescent="0.2">
      <c r="D3" t="s">
        <v>263</v>
      </c>
    </row>
    <row r="4" spans="3:13" x14ac:dyDescent="0.2">
      <c r="C4" s="31" t="s">
        <v>265</v>
      </c>
      <c r="D4" s="32"/>
      <c r="E4" s="32"/>
      <c r="F4" s="33"/>
      <c r="H4" s="31" t="s">
        <v>260</v>
      </c>
      <c r="I4" s="32"/>
      <c r="J4" s="33"/>
      <c r="L4" s="31" t="s">
        <v>303</v>
      </c>
      <c r="M4" s="33"/>
    </row>
    <row r="5" spans="3:13" x14ac:dyDescent="0.2">
      <c r="C5" s="5"/>
      <c r="D5" t="s">
        <v>259</v>
      </c>
      <c r="E5" t="s">
        <v>257</v>
      </c>
      <c r="F5" s="6" t="s">
        <v>258</v>
      </c>
      <c r="H5" s="5"/>
      <c r="I5" t="s">
        <v>261</v>
      </c>
      <c r="J5" s="6" t="s">
        <v>262</v>
      </c>
      <c r="L5" s="5" t="s">
        <v>268</v>
      </c>
      <c r="M5" s="6"/>
    </row>
    <row r="6" spans="3:13" x14ac:dyDescent="0.2">
      <c r="C6" s="5" t="s">
        <v>254</v>
      </c>
      <c r="D6" s="7">
        <v>5</v>
      </c>
      <c r="E6" s="7">
        <v>2</v>
      </c>
      <c r="F6" s="18">
        <v>5</v>
      </c>
      <c r="H6" s="5" t="s">
        <v>266</v>
      </c>
      <c r="I6" s="7">
        <v>1</v>
      </c>
      <c r="J6" s="18">
        <v>1</v>
      </c>
      <c r="L6" s="5" t="s">
        <v>269</v>
      </c>
      <c r="M6" s="6">
        <f>D6+$I$6*E6+$I$7*F6</f>
        <v>12</v>
      </c>
    </row>
    <row r="7" spans="3:13" x14ac:dyDescent="0.2">
      <c r="C7" s="5" t="s">
        <v>255</v>
      </c>
      <c r="D7" s="7">
        <v>8</v>
      </c>
      <c r="E7" s="7">
        <v>3</v>
      </c>
      <c r="F7" s="18">
        <v>2</v>
      </c>
      <c r="H7" s="5" t="s">
        <v>267</v>
      </c>
      <c r="I7" s="7">
        <v>1</v>
      </c>
      <c r="J7" s="18">
        <v>1</v>
      </c>
      <c r="L7" s="5" t="s">
        <v>270</v>
      </c>
      <c r="M7" s="6">
        <f t="shared" ref="M7:M8" si="0">D7+$I$6*E7+$I$7*F7</f>
        <v>13</v>
      </c>
    </row>
    <row r="8" spans="3:13" x14ac:dyDescent="0.2">
      <c r="C8" s="13" t="s">
        <v>256</v>
      </c>
      <c r="D8" s="39">
        <v>3</v>
      </c>
      <c r="E8" s="39">
        <v>1</v>
      </c>
      <c r="F8" s="36">
        <v>3</v>
      </c>
      <c r="H8" s="13" t="s">
        <v>264</v>
      </c>
      <c r="I8" s="39">
        <v>0</v>
      </c>
      <c r="J8" s="15"/>
      <c r="L8" s="13" t="s">
        <v>271</v>
      </c>
      <c r="M8" s="15">
        <f t="shared" si="0"/>
        <v>7</v>
      </c>
    </row>
    <row r="11" spans="3:13" x14ac:dyDescent="0.2">
      <c r="C11" s="31" t="s">
        <v>277</v>
      </c>
      <c r="D11" s="32"/>
      <c r="E11" s="33"/>
      <c r="G11" s="31" t="s">
        <v>278</v>
      </c>
      <c r="H11" s="32"/>
      <c r="I11" s="33"/>
      <c r="K11" s="31" t="s">
        <v>289</v>
      </c>
      <c r="L11" s="33"/>
    </row>
    <row r="12" spans="3:13" x14ac:dyDescent="0.2">
      <c r="C12" s="5">
        <v>1</v>
      </c>
      <c r="D12">
        <f>E6</f>
        <v>2</v>
      </c>
      <c r="E12" s="6">
        <f>F6</f>
        <v>5</v>
      </c>
      <c r="G12" s="5" cm="1">
        <f t="array" ref="G12:I14">MINVERSE(C12:E14)</f>
        <v>-1.4000000000000004</v>
      </c>
      <c r="H12">
        <v>0.20000000000000018</v>
      </c>
      <c r="I12" s="6">
        <v>2.2000000000000002</v>
      </c>
      <c r="K12" s="5" t="s">
        <v>280</v>
      </c>
      <c r="L12" s="6">
        <f>D17/(SQRT(C17)*SQRT(D18))</f>
        <v>0.82404192419936773</v>
      </c>
    </row>
    <row r="13" spans="3:13" x14ac:dyDescent="0.2">
      <c r="C13" s="5">
        <v>1</v>
      </c>
      <c r="D13">
        <f t="shared" ref="D13:E14" si="1">E7</f>
        <v>3</v>
      </c>
      <c r="E13" s="6">
        <f t="shared" si="1"/>
        <v>2</v>
      </c>
      <c r="G13" s="5">
        <v>0.20000000000000018</v>
      </c>
      <c r="H13">
        <v>0.39999999999999991</v>
      </c>
      <c r="I13" s="6">
        <v>-0.60000000000000009</v>
      </c>
      <c r="K13" s="5" t="s">
        <v>281</v>
      </c>
      <c r="L13" s="6">
        <f>E17/(SQRT(C17)*SQRT(E19))</f>
        <v>0.99827437317499579</v>
      </c>
    </row>
    <row r="14" spans="3:13" x14ac:dyDescent="0.2">
      <c r="C14" s="13">
        <v>1</v>
      </c>
      <c r="D14" s="14">
        <f t="shared" si="1"/>
        <v>1</v>
      </c>
      <c r="E14" s="15">
        <f t="shared" si="1"/>
        <v>3</v>
      </c>
      <c r="G14" s="13">
        <v>0.4</v>
      </c>
      <c r="H14" s="14">
        <v>-0.2</v>
      </c>
      <c r="I14" s="15">
        <v>-0.2</v>
      </c>
      <c r="K14" s="13" t="s">
        <v>282</v>
      </c>
      <c r="L14" s="15">
        <f>E18/(SQRT(D18)*SQRT(E19))</f>
        <v>0.78935221737632633</v>
      </c>
    </row>
    <row r="16" spans="3:13" x14ac:dyDescent="0.2">
      <c r="C16" s="31" t="s">
        <v>272</v>
      </c>
      <c r="D16" s="32"/>
      <c r="E16" s="33"/>
      <c r="G16" s="31" t="s">
        <v>273</v>
      </c>
      <c r="H16" s="33"/>
      <c r="J16" s="31" t="s">
        <v>296</v>
      </c>
      <c r="K16" s="32"/>
      <c r="L16" s="32"/>
      <c r="M16" s="33"/>
    </row>
    <row r="17" spans="1:13" x14ac:dyDescent="0.2">
      <c r="A17" t="s">
        <v>279</v>
      </c>
      <c r="C17" s="5">
        <f>E6*E6*J6+E6*F6*I8+F6*E6*I8+F6*F6*J7</f>
        <v>29</v>
      </c>
      <c r="D17">
        <f>E6*E7*J6+E6*F7*I8+F6*E7*I8+F6*F7*J7</f>
        <v>16</v>
      </c>
      <c r="E17" s="6">
        <f>E6*E8*J6+E6*F8*I8+F6*E8*I8+F6*F8*J7</f>
        <v>17</v>
      </c>
      <c r="G17" s="5" t="s">
        <v>274</v>
      </c>
      <c r="H17" s="6" cm="1">
        <f t="array" ref="H17:H19">MMULT(_xlfn.ANCHORARRAY(G12),M6:M8)</f>
        <v>1.1999999999999993</v>
      </c>
      <c r="J17" s="2" t="s">
        <v>297</v>
      </c>
      <c r="K17" s="4"/>
      <c r="L17" t="s">
        <v>298</v>
      </c>
      <c r="M17" s="6"/>
    </row>
    <row r="18" spans="1:13" x14ac:dyDescent="0.2">
      <c r="C18" s="5">
        <f>E6*E7*J6+E6*F7*I8+F6*E7*I8+F6*F7*J7</f>
        <v>16</v>
      </c>
      <c r="D18">
        <f>E7*E7*J6+E7*F7*I8+F7*E7*I8+F7*F7*J7</f>
        <v>13</v>
      </c>
      <c r="E18" s="6">
        <f>E7*E8*J6+E7*F8*I8+F7*E8*I8+F7*F8*J7</f>
        <v>9</v>
      </c>
      <c r="G18" s="5" t="s">
        <v>275</v>
      </c>
      <c r="H18" s="6">
        <v>3.4000000000000004</v>
      </c>
      <c r="J18" s="5" t="s">
        <v>290</v>
      </c>
      <c r="K18" s="6">
        <f>E6*J6+F6*I8</f>
        <v>2</v>
      </c>
      <c r="L18" t="s">
        <v>283</v>
      </c>
      <c r="M18" s="6">
        <f>K18/(SQRT(C17)*SQRT(J6))</f>
        <v>0.37139067635410372</v>
      </c>
    </row>
    <row r="19" spans="1:13" x14ac:dyDescent="0.2">
      <c r="C19" s="13">
        <f>E6*E8*J6+E6*F8*I8+F6*E8*I8+F6*F8*J7</f>
        <v>17</v>
      </c>
      <c r="D19" s="14">
        <f>E7*E8*J6+E7*F8*I8+F7*E8*I8+F7*F8*J7</f>
        <v>9</v>
      </c>
      <c r="E19" s="15">
        <f>E8*E8*J6+E8*F8*I8+F8*E8*I8+F8*F8*J7</f>
        <v>10</v>
      </c>
      <c r="G19" s="13" t="s">
        <v>276</v>
      </c>
      <c r="H19" s="15">
        <v>0.80000000000000049</v>
      </c>
      <c r="J19" s="5" t="s">
        <v>291</v>
      </c>
      <c r="K19" s="6">
        <f>E6*I8+F6*J7</f>
        <v>5</v>
      </c>
      <c r="L19" t="s">
        <v>284</v>
      </c>
      <c r="M19" s="6">
        <f>K19/(SQRT(C17)*SQRT(J7))</f>
        <v>0.92847669088525941</v>
      </c>
    </row>
    <row r="20" spans="1:13" x14ac:dyDescent="0.2">
      <c r="J20" s="5" t="s">
        <v>292</v>
      </c>
      <c r="K20" s="6">
        <f>E7*J6+F7*I8</f>
        <v>3</v>
      </c>
      <c r="L20" t="s">
        <v>285</v>
      </c>
      <c r="M20" s="6">
        <f>K20/(SQRT(D18)*SQRT(J6))</f>
        <v>0.83205029433784372</v>
      </c>
    </row>
    <row r="21" spans="1:13" x14ac:dyDescent="0.2">
      <c r="C21" s="31" t="s">
        <v>299</v>
      </c>
      <c r="D21" s="32"/>
      <c r="E21" s="33"/>
      <c r="J21" s="5" t="s">
        <v>293</v>
      </c>
      <c r="K21" s="6">
        <f>E7*I8+F7*J7</f>
        <v>2</v>
      </c>
      <c r="L21" t="s">
        <v>286</v>
      </c>
      <c r="M21" s="6">
        <f>K21/(SQRT(D18)*SQRT(J7))</f>
        <v>0.55470019622522915</v>
      </c>
    </row>
    <row r="22" spans="1:13" x14ac:dyDescent="0.2">
      <c r="C22" s="5"/>
      <c r="D22" t="s">
        <v>261</v>
      </c>
      <c r="E22" s="6" t="s">
        <v>262</v>
      </c>
      <c r="J22" s="5" t="s">
        <v>294</v>
      </c>
      <c r="K22" s="6">
        <f>E8*J6+F8*I8</f>
        <v>1</v>
      </c>
      <c r="L22" t="s">
        <v>287</v>
      </c>
      <c r="M22" s="6">
        <f>K22/(SQRT(E19)*SQRT(J6))</f>
        <v>0.31622776601683794</v>
      </c>
    </row>
    <row r="23" spans="1:13" x14ac:dyDescent="0.2">
      <c r="C23" s="5" t="s">
        <v>300</v>
      </c>
      <c r="D23">
        <f>M6</f>
        <v>12</v>
      </c>
      <c r="E23" s="6">
        <f>C17</f>
        <v>29</v>
      </c>
      <c r="J23" s="13" t="s">
        <v>295</v>
      </c>
      <c r="K23" s="15">
        <f>E8*I8+F8*J7</f>
        <v>3</v>
      </c>
      <c r="L23" s="14" t="s">
        <v>288</v>
      </c>
      <c r="M23" s="15">
        <f>K23/(SQRT(E19)*SQRT(J7))</f>
        <v>0.94868329805051377</v>
      </c>
    </row>
    <row r="24" spans="1:13" x14ac:dyDescent="0.2">
      <c r="C24" s="5" t="s">
        <v>301</v>
      </c>
      <c r="D24">
        <f t="shared" ref="D24:D25" si="2">M7</f>
        <v>13</v>
      </c>
      <c r="E24" s="6">
        <f>D18</f>
        <v>13</v>
      </c>
    </row>
    <row r="25" spans="1:13" x14ac:dyDescent="0.2">
      <c r="C25" s="13" t="s">
        <v>302</v>
      </c>
      <c r="D25" s="14">
        <f t="shared" si="2"/>
        <v>7</v>
      </c>
      <c r="E25" s="15">
        <f>E19</f>
        <v>10</v>
      </c>
      <c r="H25" s="31" t="s">
        <v>316</v>
      </c>
      <c r="I25" s="33"/>
    </row>
    <row r="26" spans="1:13" x14ac:dyDescent="0.2">
      <c r="H26" s="5" t="s">
        <v>308</v>
      </c>
      <c r="I26" s="6">
        <f>I29</f>
        <v>10</v>
      </c>
    </row>
    <row r="27" spans="1:13" x14ac:dyDescent="0.2">
      <c r="C27" s="31" t="s">
        <v>315</v>
      </c>
      <c r="D27" s="32"/>
      <c r="E27" s="32"/>
      <c r="F27" s="33"/>
      <c r="H27" s="5" t="s">
        <v>257</v>
      </c>
      <c r="I27" s="18">
        <v>2</v>
      </c>
    </row>
    <row r="28" spans="1:13" x14ac:dyDescent="0.2">
      <c r="C28" s="5"/>
      <c r="D28" t="s">
        <v>304</v>
      </c>
      <c r="E28" t="s">
        <v>305</v>
      </c>
      <c r="F28" s="6" t="s">
        <v>306</v>
      </c>
      <c r="H28" s="5" t="s">
        <v>258</v>
      </c>
      <c r="I28" s="18">
        <v>2</v>
      </c>
    </row>
    <row r="29" spans="1:13" x14ac:dyDescent="0.2">
      <c r="C29" s="5" t="s">
        <v>254</v>
      </c>
      <c r="D29">
        <f>M6</f>
        <v>12</v>
      </c>
      <c r="E29">
        <f>E6</f>
        <v>2</v>
      </c>
      <c r="F29" s="6">
        <f>F6</f>
        <v>5</v>
      </c>
      <c r="H29" s="5" t="s">
        <v>310</v>
      </c>
      <c r="I29" s="18">
        <v>10</v>
      </c>
    </row>
    <row r="30" spans="1:13" x14ac:dyDescent="0.2">
      <c r="C30" s="5" t="s">
        <v>255</v>
      </c>
      <c r="D30">
        <f t="shared" ref="D30:D31" si="3">M7</f>
        <v>13</v>
      </c>
      <c r="E30">
        <f t="shared" ref="E30:F30" si="4">E7</f>
        <v>3</v>
      </c>
      <c r="F30" s="6">
        <f t="shared" si="4"/>
        <v>2</v>
      </c>
      <c r="H30" s="5" t="s">
        <v>309</v>
      </c>
      <c r="I30" s="6">
        <f>H17+I27*H18+I28*H19</f>
        <v>9.6000000000000014</v>
      </c>
    </row>
    <row r="31" spans="1:13" x14ac:dyDescent="0.2">
      <c r="C31" s="13" t="s">
        <v>256</v>
      </c>
      <c r="D31" s="14">
        <f t="shared" si="3"/>
        <v>7</v>
      </c>
      <c r="E31" s="14">
        <f t="shared" ref="E31:F31" si="5">E8</f>
        <v>1</v>
      </c>
      <c r="F31" s="15">
        <f t="shared" si="5"/>
        <v>3</v>
      </c>
      <c r="H31" s="5" t="s">
        <v>311</v>
      </c>
      <c r="I31" s="6" t="str">
        <f>IF(I29&lt;I30,"low","high")</f>
        <v>high</v>
      </c>
      <c r="J31" t="s">
        <v>312</v>
      </c>
    </row>
    <row r="32" spans="1:13" x14ac:dyDescent="0.2">
      <c r="C32" t="s">
        <v>307</v>
      </c>
      <c r="H32" s="13" t="s">
        <v>313</v>
      </c>
      <c r="I32" s="15" t="str">
        <f>IF(I31="high","low","high")</f>
        <v>low</v>
      </c>
      <c r="J32" t="s">
        <v>314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201A-D60B-864B-B8A6-3EFCA79107B4}">
  <dimension ref="A1:AD59"/>
  <sheetViews>
    <sheetView tabSelected="1" topLeftCell="A15" zoomScale="68" workbookViewId="0">
      <selection activeCell="S45" sqref="S45"/>
    </sheetView>
  </sheetViews>
  <sheetFormatPr baseColWidth="10" defaultRowHeight="16" x14ac:dyDescent="0.2"/>
  <cols>
    <col min="2" max="2" width="15" customWidth="1"/>
    <col min="3" max="3" width="11.5" customWidth="1"/>
    <col min="5" max="5" width="10.83203125" customWidth="1"/>
    <col min="13" max="13" width="10.83203125" customWidth="1"/>
    <col min="14" max="14" width="15.6640625" customWidth="1"/>
    <col min="15" max="15" width="12.1640625" bestFit="1" customWidth="1"/>
    <col min="21" max="21" width="12" bestFit="1" customWidth="1"/>
  </cols>
  <sheetData>
    <row r="1" spans="1:27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">
      <c r="A2" s="34"/>
      <c r="B2" s="34" t="s">
        <v>334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2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x14ac:dyDescent="0.2">
      <c r="A5" s="34"/>
      <c r="B5" s="77" t="s">
        <v>338</v>
      </c>
      <c r="C5" s="78"/>
      <c r="D5" s="34"/>
      <c r="E5" s="34"/>
      <c r="F5" s="77" t="s">
        <v>329</v>
      </c>
      <c r="G5" s="79"/>
      <c r="H5" s="79"/>
      <c r="I5" s="79"/>
      <c r="J5" s="79"/>
      <c r="K5" s="79"/>
      <c r="L5" s="79"/>
      <c r="M5" s="78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x14ac:dyDescent="0.2">
      <c r="A6" s="34"/>
      <c r="B6" s="80" t="s">
        <v>317</v>
      </c>
      <c r="C6" s="81">
        <v>102.3181</v>
      </c>
      <c r="D6" s="34"/>
      <c r="E6" s="34"/>
      <c r="F6" s="80"/>
      <c r="G6" s="34" t="s">
        <v>330</v>
      </c>
      <c r="H6" s="34" t="s">
        <v>331</v>
      </c>
      <c r="I6" s="34" t="s">
        <v>332</v>
      </c>
      <c r="J6" s="34" t="s">
        <v>333</v>
      </c>
      <c r="K6" s="34" t="s">
        <v>327</v>
      </c>
      <c r="L6" s="34" t="s">
        <v>328</v>
      </c>
      <c r="M6" s="35" t="s">
        <v>335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x14ac:dyDescent="0.2">
      <c r="A7" s="34"/>
      <c r="B7" s="80" t="s">
        <v>318</v>
      </c>
      <c r="C7" s="81">
        <v>106.096</v>
      </c>
      <c r="D7" s="34"/>
      <c r="E7" s="34"/>
      <c r="F7" s="80" t="s">
        <v>317</v>
      </c>
      <c r="G7" s="34"/>
      <c r="H7" s="82">
        <v>0.06</v>
      </c>
      <c r="I7" s="82">
        <v>3</v>
      </c>
      <c r="J7" s="83">
        <v>4.7696000000000002E-2</v>
      </c>
      <c r="K7" s="34">
        <f>(1/C6)*(1/(1+J7))*(($C$18*C19/((1+J7)^$C$18))+($D$18*D19/((1+J7)^$D$18))+($E$18*E19/((1+J7)^$E$18)))</f>
        <v>1.8793138269121614</v>
      </c>
      <c r="L7" s="34">
        <f>(1+J7)*K7</f>
        <v>1.9689495792005638</v>
      </c>
      <c r="M7" s="35">
        <f>(1/(C6*((1+J7)^2)))*(($C$18*($C$18+1)*C19/((1+J7)^$C$18))+($D$18*($D$18+1)*D19/((1+J7)^$D$18))+($E$18*($E$18+1)*E19/((1+J7)^$E$18)))</f>
        <v>5.9322682377362224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">
      <c r="A8" s="34"/>
      <c r="B8" s="84" t="s">
        <v>319</v>
      </c>
      <c r="C8" s="85">
        <v>111.3094</v>
      </c>
      <c r="D8" s="34"/>
      <c r="E8" s="34"/>
      <c r="F8" s="80" t="s">
        <v>318</v>
      </c>
      <c r="G8" s="34"/>
      <c r="H8" s="82">
        <v>0.08</v>
      </c>
      <c r="I8" s="82">
        <v>3</v>
      </c>
      <c r="J8" s="83">
        <v>4.7060999999999999E-2</v>
      </c>
      <c r="K8" s="34">
        <f>(1/C7)*(1/(1+J8))*(($C$18*C20/((1+J8)^$C$18))+($D$18*D20/((1+J8)^$D$18))+($E$18*E20/((1+J8)^$E$18)))</f>
        <v>1.8372540262495576</v>
      </c>
      <c r="L8" s="34">
        <f t="shared" ref="L8:L9" si="0">(1+J8)*K8</f>
        <v>1.9237170379788882</v>
      </c>
      <c r="M8" s="35">
        <f>(1/(C7*((1+J8)^2)))*(($C$18*($C$18+1)*C20/((1+J8)^$C$18))+($D$18*($D$18+1)*D20/((1+J8)^$D$18))+($E$18*($E$18+1)*E20/((1+J8)^$E$18)))</f>
        <v>5.7335235773219466</v>
      </c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">
      <c r="A9" s="34"/>
      <c r="B9" s="34"/>
      <c r="C9" s="34"/>
      <c r="D9" s="34"/>
      <c r="E9" s="34"/>
      <c r="F9" s="84" t="s">
        <v>319</v>
      </c>
      <c r="G9" s="86"/>
      <c r="H9" s="87">
        <v>0.1</v>
      </c>
      <c r="I9" s="87">
        <v>3</v>
      </c>
      <c r="J9" s="88">
        <v>5.7858E-2</v>
      </c>
      <c r="K9" s="86">
        <f>(1/C8)*(1/(1+J9))*(($C$18*C21/((1+J9)^$C$18))+($D$18*D21/((1+J9)^$D$18))+($E$18*E21/((1+J9)^$E$18)))</f>
        <v>2.5994668459246708</v>
      </c>
      <c r="L9" s="86">
        <f t="shared" si="0"/>
        <v>2.7498667986961802</v>
      </c>
      <c r="M9" s="89">
        <f>(1/(C8*((1+J9)^2)))*(($C$18*($C$18+1)*C21/((1+J9)^$C$18))+($D$18*($D$18+1)*D21/((1+J9)^$D$18))+($E$18*($E$18+1)*E21/((1+J9)^$E$18)))</f>
        <v>9.5339115752513397</v>
      </c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x14ac:dyDescent="0.2">
      <c r="A10" s="34"/>
      <c r="B10" s="77" t="s">
        <v>337</v>
      </c>
      <c r="C10" s="78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x14ac:dyDescent="0.2">
      <c r="A11" s="34"/>
      <c r="B11" s="80" t="s">
        <v>325</v>
      </c>
      <c r="C11" s="81">
        <v>0.06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x14ac:dyDescent="0.2">
      <c r="A12" s="34"/>
      <c r="B12" s="80" t="s">
        <v>317</v>
      </c>
      <c r="C12" s="90">
        <f>C19/(1+$C$11)+D19/((1+$C$11)^2)+E19/((1+$C$11)^3)</f>
        <v>99.997377029359797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">
      <c r="A13" s="34"/>
      <c r="B13" s="80" t="s">
        <v>318</v>
      </c>
      <c r="C13" s="90">
        <f>C20/(1+$C$11)+D20/((1+$C$11)^2)+E20/((1+$C$11)^3)</f>
        <v>103.63302256224937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">
      <c r="A14" s="34"/>
      <c r="B14" s="84" t="s">
        <v>319</v>
      </c>
      <c r="C14" s="91">
        <f>C21/(1+$C$11)+D21/((1+$C$11)^2)+E21/((1+$C$11)^3)</f>
        <v>110.69204779784653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x14ac:dyDescent="0.2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2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30" x14ac:dyDescent="0.2">
      <c r="A17" s="34"/>
      <c r="B17" s="77" t="s">
        <v>324</v>
      </c>
      <c r="C17" s="79"/>
      <c r="D17" s="79"/>
      <c r="E17" s="78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30" x14ac:dyDescent="0.2">
      <c r="A18" s="34"/>
      <c r="B18" s="80" t="s">
        <v>3</v>
      </c>
      <c r="C18" s="34">
        <v>1</v>
      </c>
      <c r="D18" s="34">
        <v>2</v>
      </c>
      <c r="E18" s="35">
        <v>3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30" x14ac:dyDescent="0.2">
      <c r="A19" s="34"/>
      <c r="B19" s="80" t="s">
        <v>317</v>
      </c>
      <c r="C19" s="83">
        <v>37.409999999999997</v>
      </c>
      <c r="D19" s="83">
        <v>37.409999999999997</v>
      </c>
      <c r="E19" s="81">
        <v>37.409999999999997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30" x14ac:dyDescent="0.2">
      <c r="A20" s="34"/>
      <c r="B20" s="80" t="s">
        <v>318</v>
      </c>
      <c r="C20" s="83">
        <v>41.33</v>
      </c>
      <c r="D20" s="83">
        <v>38.67</v>
      </c>
      <c r="E20" s="81">
        <v>36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30" x14ac:dyDescent="0.2">
      <c r="A21" s="34"/>
      <c r="B21" s="84" t="s">
        <v>319</v>
      </c>
      <c r="C21" s="88">
        <v>10</v>
      </c>
      <c r="D21" s="88">
        <v>10</v>
      </c>
      <c r="E21" s="85">
        <v>110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30" x14ac:dyDescent="0.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30" x14ac:dyDescent="0.2">
      <c r="A23" s="34"/>
      <c r="B23" s="77" t="s">
        <v>320</v>
      </c>
      <c r="C23" s="78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30" x14ac:dyDescent="0.2">
      <c r="A24" s="34"/>
      <c r="B24" s="80" t="s">
        <v>321</v>
      </c>
      <c r="C24" s="90" cm="1">
        <f t="array" ref="C24:C26">MMULT(MINVERSE(C19:E21),C6:C8)</f>
        <v>0.96746035660322538</v>
      </c>
      <c r="D24" s="34" t="s">
        <v>336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30" x14ac:dyDescent="0.2">
      <c r="A25" s="34"/>
      <c r="B25" s="80" t="s">
        <v>322</v>
      </c>
      <c r="C25" s="90">
        <v>0.92799710022650972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30" x14ac:dyDescent="0.2">
      <c r="A26" s="34"/>
      <c r="B26" s="84" t="s">
        <v>323</v>
      </c>
      <c r="C26" s="91">
        <v>0.83958932210638881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30" x14ac:dyDescent="0.2">
      <c r="A27" s="34"/>
      <c r="B27" s="34" t="s">
        <v>326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30" x14ac:dyDescent="0.2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30" x14ac:dyDescent="0.2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30" x14ac:dyDescent="0.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1"/>
    </row>
    <row r="31" spans="1:30" x14ac:dyDescent="0.2">
      <c r="A31" s="34"/>
      <c r="B31" s="77" t="s">
        <v>345</v>
      </c>
      <c r="C31" s="79"/>
      <c r="D31" s="79"/>
      <c r="E31" s="79"/>
      <c r="F31" s="79"/>
      <c r="G31" s="79"/>
      <c r="H31" s="79"/>
      <c r="I31" s="79"/>
      <c r="J31" s="79"/>
      <c r="K31" s="79"/>
      <c r="L31" s="78"/>
      <c r="M31" s="34"/>
      <c r="N31" s="77" t="s">
        <v>340</v>
      </c>
      <c r="O31" s="78"/>
      <c r="P31" s="34"/>
      <c r="Q31" s="34" t="s">
        <v>358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1"/>
    </row>
    <row r="32" spans="1:30" x14ac:dyDescent="0.2">
      <c r="A32" s="34"/>
      <c r="B32" s="80" t="s">
        <v>330</v>
      </c>
      <c r="C32" s="83">
        <v>100.9615</v>
      </c>
      <c r="D32" s="34"/>
      <c r="E32" s="34"/>
      <c r="F32" s="34"/>
      <c r="G32" s="34"/>
      <c r="H32" s="34"/>
      <c r="I32" s="34"/>
      <c r="J32" s="34"/>
      <c r="K32" s="34"/>
      <c r="L32" s="35"/>
      <c r="M32" s="34"/>
      <c r="N32" s="80" t="s">
        <v>343</v>
      </c>
      <c r="O32" s="35">
        <f>(1/C32)*(1/(1+C33))*SUM(C36:L36)</f>
        <v>0.96153882783896705</v>
      </c>
      <c r="P32" s="34"/>
      <c r="Q32" s="77" t="s">
        <v>345</v>
      </c>
      <c r="R32" s="79"/>
      <c r="S32" s="79"/>
      <c r="T32" s="79"/>
      <c r="U32" s="79"/>
      <c r="V32" s="79"/>
      <c r="W32" s="79"/>
      <c r="X32" s="79"/>
      <c r="Y32" s="79"/>
      <c r="Z32" s="79"/>
      <c r="AA32" s="78"/>
      <c r="AB32" s="1"/>
      <c r="AC32" s="77" t="s">
        <v>340</v>
      </c>
      <c r="AD32" s="78"/>
    </row>
    <row r="33" spans="1:30" x14ac:dyDescent="0.2">
      <c r="A33" s="34"/>
      <c r="B33" s="80" t="s">
        <v>341</v>
      </c>
      <c r="C33" s="83">
        <v>0.04</v>
      </c>
      <c r="D33" s="34"/>
      <c r="E33" s="34"/>
      <c r="F33" s="34"/>
      <c r="G33" s="34"/>
      <c r="H33" s="34"/>
      <c r="I33" s="34"/>
      <c r="J33" s="34"/>
      <c r="K33" s="34"/>
      <c r="L33" s="35"/>
      <c r="M33" s="34"/>
      <c r="N33" s="80" t="s">
        <v>344</v>
      </c>
      <c r="O33" s="35">
        <f>(1+C33)*O32</f>
        <v>1.0000003809525257</v>
      </c>
      <c r="P33" s="34"/>
      <c r="Q33" s="80" t="s">
        <v>330</v>
      </c>
      <c r="R33" s="83">
        <v>100</v>
      </c>
      <c r="S33" s="34"/>
      <c r="T33" s="34"/>
      <c r="U33" s="34"/>
      <c r="V33" s="34"/>
      <c r="W33" s="34"/>
      <c r="X33" s="34"/>
      <c r="Y33" s="34"/>
      <c r="Z33" s="34"/>
      <c r="AA33" s="35"/>
      <c r="AB33" s="1"/>
      <c r="AC33" s="80" t="s">
        <v>343</v>
      </c>
      <c r="AD33" s="35">
        <f>(1/R33)*(1/(1+R34))*SUM(R37:AA37)</f>
        <v>2.7750910332271275</v>
      </c>
    </row>
    <row r="34" spans="1:30" x14ac:dyDescent="0.2">
      <c r="A34" s="34"/>
      <c r="B34" s="80" t="s">
        <v>3</v>
      </c>
      <c r="C34" s="34">
        <v>1</v>
      </c>
      <c r="D34" s="34">
        <v>2</v>
      </c>
      <c r="E34" s="34">
        <v>3</v>
      </c>
      <c r="F34" s="34">
        <v>4</v>
      </c>
      <c r="G34" s="34">
        <v>5</v>
      </c>
      <c r="H34" s="34">
        <v>6</v>
      </c>
      <c r="I34" s="34">
        <v>7</v>
      </c>
      <c r="J34" s="34">
        <v>8</v>
      </c>
      <c r="K34" s="34">
        <v>9</v>
      </c>
      <c r="L34" s="35">
        <v>10</v>
      </c>
      <c r="M34" s="34"/>
      <c r="N34" s="84" t="s">
        <v>335</v>
      </c>
      <c r="O34" s="89">
        <f>(1/(C32*((1+C33)^2)))*SUM(C37:L37)</f>
        <v>1.8491131304595521</v>
      </c>
      <c r="P34" s="34"/>
      <c r="Q34" s="80" t="s">
        <v>341</v>
      </c>
      <c r="R34" s="83">
        <v>0.04</v>
      </c>
      <c r="S34" s="34"/>
      <c r="T34" s="34"/>
      <c r="U34" s="34"/>
      <c r="V34" s="34"/>
      <c r="W34" s="34"/>
      <c r="X34" s="34"/>
      <c r="Y34" s="34"/>
      <c r="Z34" s="34"/>
      <c r="AA34" s="35"/>
      <c r="AB34" s="1"/>
      <c r="AC34" s="80" t="s">
        <v>344</v>
      </c>
      <c r="AD34" s="35">
        <f>(1+R34)*AD33</f>
        <v>2.8860946745562126</v>
      </c>
    </row>
    <row r="35" spans="1:30" x14ac:dyDescent="0.2">
      <c r="A35" s="34"/>
      <c r="B35" s="80" t="s">
        <v>339</v>
      </c>
      <c r="C35" s="83">
        <v>105</v>
      </c>
      <c r="D35" s="83"/>
      <c r="E35" s="83"/>
      <c r="F35" s="83"/>
      <c r="G35" s="83"/>
      <c r="H35" s="83"/>
      <c r="I35" s="83"/>
      <c r="J35" s="83"/>
      <c r="K35" s="83"/>
      <c r="L35" s="81"/>
      <c r="M35" s="34"/>
      <c r="N35" s="34"/>
      <c r="O35" s="34"/>
      <c r="P35" s="34"/>
      <c r="Q35" s="80" t="s">
        <v>3</v>
      </c>
      <c r="R35" s="34">
        <v>1</v>
      </c>
      <c r="S35" s="34">
        <v>2</v>
      </c>
      <c r="T35" s="34">
        <v>3</v>
      </c>
      <c r="U35" s="34">
        <v>4</v>
      </c>
      <c r="V35" s="34">
        <v>5</v>
      </c>
      <c r="W35" s="34">
        <v>6</v>
      </c>
      <c r="X35" s="34">
        <v>7</v>
      </c>
      <c r="Y35" s="34">
        <v>8</v>
      </c>
      <c r="Z35" s="34">
        <v>9</v>
      </c>
      <c r="AA35" s="35">
        <v>10</v>
      </c>
      <c r="AB35" s="1"/>
      <c r="AC35" s="84" t="s">
        <v>335</v>
      </c>
      <c r="AD35" s="89">
        <f>(1/(R33*((1+R34)^2)))*SUM(R38:AA38)</f>
        <v>10.533923006897515</v>
      </c>
    </row>
    <row r="36" spans="1:30" x14ac:dyDescent="0.2">
      <c r="A36" s="34"/>
      <c r="B36" s="80" t="s">
        <v>342</v>
      </c>
      <c r="C36" s="34">
        <f>C34*C35/((1+$C$33)^C34)</f>
        <v>100.96153846153845</v>
      </c>
      <c r="D36" s="34">
        <f t="shared" ref="D36:L36" si="1">D34*D35/((1+$C$33)^D34)</f>
        <v>0</v>
      </c>
      <c r="E36" s="34">
        <f t="shared" si="1"/>
        <v>0</v>
      </c>
      <c r="F36" s="34">
        <f t="shared" si="1"/>
        <v>0</v>
      </c>
      <c r="G36" s="34">
        <f t="shared" si="1"/>
        <v>0</v>
      </c>
      <c r="H36" s="34">
        <f t="shared" si="1"/>
        <v>0</v>
      </c>
      <c r="I36" s="34">
        <f t="shared" si="1"/>
        <v>0</v>
      </c>
      <c r="J36" s="34">
        <f t="shared" si="1"/>
        <v>0</v>
      </c>
      <c r="K36" s="34">
        <f t="shared" si="1"/>
        <v>0</v>
      </c>
      <c r="L36" s="35">
        <f t="shared" si="1"/>
        <v>0</v>
      </c>
      <c r="M36" s="34"/>
      <c r="N36" s="34"/>
      <c r="O36" s="34"/>
      <c r="P36" s="34"/>
      <c r="Q36" s="80" t="s">
        <v>339</v>
      </c>
      <c r="R36" s="83">
        <v>4</v>
      </c>
      <c r="S36" s="83">
        <v>4</v>
      </c>
      <c r="T36" s="83">
        <v>104</v>
      </c>
      <c r="U36" s="83"/>
      <c r="V36" s="83"/>
      <c r="W36" s="83"/>
      <c r="X36" s="83"/>
      <c r="Y36" s="83"/>
      <c r="Z36" s="83"/>
      <c r="AA36" s="81"/>
      <c r="AB36" s="1"/>
    </row>
    <row r="37" spans="1:30" x14ac:dyDescent="0.2">
      <c r="A37" s="34"/>
      <c r="B37" s="84" t="s">
        <v>342</v>
      </c>
      <c r="C37" s="86">
        <f>(C34*(C34+1)*C35/((1+$C$33)^C34))</f>
        <v>201.92307692307691</v>
      </c>
      <c r="D37" s="86">
        <f t="shared" ref="D37:L37" si="2">(D34*(D34+1)*D35/((1+$C$33)^D34))</f>
        <v>0</v>
      </c>
      <c r="E37" s="86">
        <f t="shared" si="2"/>
        <v>0</v>
      </c>
      <c r="F37" s="86">
        <f t="shared" si="2"/>
        <v>0</v>
      </c>
      <c r="G37" s="86">
        <f t="shared" si="2"/>
        <v>0</v>
      </c>
      <c r="H37" s="86">
        <f t="shared" si="2"/>
        <v>0</v>
      </c>
      <c r="I37" s="86">
        <f t="shared" si="2"/>
        <v>0</v>
      </c>
      <c r="J37" s="86">
        <f t="shared" si="2"/>
        <v>0</v>
      </c>
      <c r="K37" s="86">
        <f t="shared" si="2"/>
        <v>0</v>
      </c>
      <c r="L37" s="89">
        <f t="shared" si="2"/>
        <v>0</v>
      </c>
      <c r="M37" s="34"/>
      <c r="N37" s="34"/>
      <c r="O37" s="34"/>
      <c r="P37" s="34"/>
      <c r="Q37" s="80" t="s">
        <v>342</v>
      </c>
      <c r="R37" s="34">
        <f>R35*R36/((1+$C$33)^R35)</f>
        <v>3.8461538461538458</v>
      </c>
      <c r="S37" s="34">
        <f t="shared" ref="S37:AA37" si="3">S35*S36/((1+$C$33)^S35)</f>
        <v>7.396449704142011</v>
      </c>
      <c r="T37" s="34">
        <f t="shared" si="3"/>
        <v>277.36686390532543</v>
      </c>
      <c r="U37" s="34">
        <f t="shared" si="3"/>
        <v>0</v>
      </c>
      <c r="V37" s="34">
        <f t="shared" si="3"/>
        <v>0</v>
      </c>
      <c r="W37" s="34">
        <f t="shared" si="3"/>
        <v>0</v>
      </c>
      <c r="X37" s="34">
        <f t="shared" si="3"/>
        <v>0</v>
      </c>
      <c r="Y37" s="34">
        <f t="shared" si="3"/>
        <v>0</v>
      </c>
      <c r="Z37" s="34">
        <f t="shared" si="3"/>
        <v>0</v>
      </c>
      <c r="AA37" s="35">
        <f t="shared" si="3"/>
        <v>0</v>
      </c>
      <c r="AB37" s="1"/>
    </row>
    <row r="38" spans="1:30" x14ac:dyDescent="0.2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84" t="s">
        <v>342</v>
      </c>
      <c r="R38" s="86">
        <f>(R35*(R35+1)*R36/((1+$C$33)^R35))</f>
        <v>7.6923076923076916</v>
      </c>
      <c r="S38" s="86">
        <f t="shared" ref="S38:AA38" si="4">(S35*(S35+1)*S36/((1+$C$33)^S35))</f>
        <v>22.189349112426033</v>
      </c>
      <c r="T38" s="86">
        <f t="shared" si="4"/>
        <v>1109.4674556213017</v>
      </c>
      <c r="U38" s="86">
        <f t="shared" si="4"/>
        <v>0</v>
      </c>
      <c r="V38" s="86">
        <f t="shared" si="4"/>
        <v>0</v>
      </c>
      <c r="W38" s="86">
        <f t="shared" si="4"/>
        <v>0</v>
      </c>
      <c r="X38" s="86">
        <f t="shared" si="4"/>
        <v>0</v>
      </c>
      <c r="Y38" s="86">
        <f t="shared" si="4"/>
        <v>0</v>
      </c>
      <c r="Z38" s="86">
        <f t="shared" si="4"/>
        <v>0</v>
      </c>
      <c r="AA38" s="89">
        <f t="shared" si="4"/>
        <v>0</v>
      </c>
      <c r="AB38" s="1"/>
    </row>
    <row r="39" spans="1:30" x14ac:dyDescent="0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1"/>
    </row>
    <row r="40" spans="1:30" x14ac:dyDescent="0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1"/>
    </row>
    <row r="41" spans="1:30" x14ac:dyDescent="0.2">
      <c r="A41" s="34"/>
      <c r="B41" s="77" t="s">
        <v>345</v>
      </c>
      <c r="C41" s="79"/>
      <c r="D41" s="79"/>
      <c r="E41" s="79"/>
      <c r="F41" s="79"/>
      <c r="G41" s="79"/>
      <c r="H41" s="79"/>
      <c r="I41" s="79"/>
      <c r="J41" s="79"/>
      <c r="K41" s="79"/>
      <c r="L41" s="78"/>
      <c r="M41" s="34"/>
      <c r="N41" s="77" t="s">
        <v>340</v>
      </c>
      <c r="O41" s="78"/>
      <c r="P41" s="34"/>
      <c r="Q41" s="34"/>
      <c r="R41" s="34" t="s">
        <v>359</v>
      </c>
      <c r="S41" s="34"/>
      <c r="T41" s="34" t="s">
        <v>363</v>
      </c>
      <c r="U41" s="34"/>
      <c r="V41" s="34"/>
      <c r="W41" s="34"/>
      <c r="X41" s="34"/>
      <c r="Y41" s="34"/>
      <c r="Z41" s="34"/>
      <c r="AA41" s="34"/>
      <c r="AB41" s="1"/>
    </row>
    <row r="42" spans="1:30" x14ac:dyDescent="0.2">
      <c r="A42" s="34"/>
      <c r="B42" s="80" t="s">
        <v>330</v>
      </c>
      <c r="C42" s="83">
        <v>98.113900000000001</v>
      </c>
      <c r="D42" s="34"/>
      <c r="E42" s="34"/>
      <c r="F42" s="34"/>
      <c r="G42" s="34"/>
      <c r="H42" s="34"/>
      <c r="I42" s="34"/>
      <c r="J42" s="34"/>
      <c r="K42" s="34"/>
      <c r="L42" s="35"/>
      <c r="M42" s="34"/>
      <c r="N42" s="80" t="s">
        <v>343</v>
      </c>
      <c r="O42" s="35">
        <f>(1/C42)*(1/(1+C43))*SUM(C46:L46)</f>
        <v>1.8948071427724482</v>
      </c>
      <c r="P42" s="34"/>
      <c r="Q42" s="34"/>
      <c r="R42" s="34" t="s">
        <v>360</v>
      </c>
      <c r="S42" s="34">
        <v>-0.29599999999999999</v>
      </c>
      <c r="T42" s="34" t="s">
        <v>195</v>
      </c>
      <c r="U42" s="34">
        <f>S42*C32+S43*C42+S44*C51</f>
        <v>99.999531527320002</v>
      </c>
      <c r="V42" s="34"/>
      <c r="W42" s="34"/>
      <c r="X42" s="34"/>
      <c r="Y42" s="34"/>
      <c r="Z42" s="34"/>
      <c r="AA42" s="34"/>
      <c r="AB42" s="1"/>
    </row>
    <row r="43" spans="1:30" x14ac:dyDescent="0.2">
      <c r="A43" s="34"/>
      <c r="B43" s="80" t="s">
        <v>341</v>
      </c>
      <c r="C43" s="83">
        <v>0.04</v>
      </c>
      <c r="D43" s="34"/>
      <c r="E43" s="34"/>
      <c r="F43" s="34"/>
      <c r="G43" s="34"/>
      <c r="H43" s="34"/>
      <c r="I43" s="34"/>
      <c r="J43" s="34"/>
      <c r="K43" s="34"/>
      <c r="L43" s="35"/>
      <c r="M43" s="34"/>
      <c r="N43" s="80" t="s">
        <v>344</v>
      </c>
      <c r="O43" s="35">
        <f>(1+C43)*O42</f>
        <v>1.9705994284833461</v>
      </c>
      <c r="P43" s="34"/>
      <c r="Q43" s="34"/>
      <c r="R43" s="34" t="s">
        <v>361</v>
      </c>
      <c r="S43" s="34">
        <v>1.0097</v>
      </c>
      <c r="T43" s="34" t="s">
        <v>364</v>
      </c>
      <c r="U43" s="34">
        <f>S42*C32/U42*O32+S43*C42/U42*O42+S44*C51/U42*O51</f>
        <v>2.775091454526565</v>
      </c>
      <c r="V43" s="34"/>
      <c r="W43" s="34"/>
      <c r="X43" s="34"/>
      <c r="Y43" s="34"/>
      <c r="Z43" s="34"/>
      <c r="AA43" s="34"/>
      <c r="AB43" s="1"/>
    </row>
    <row r="44" spans="1:30" x14ac:dyDescent="0.2">
      <c r="A44" s="34"/>
      <c r="B44" s="80" t="s">
        <v>3</v>
      </c>
      <c r="C44" s="34">
        <v>1</v>
      </c>
      <c r="D44" s="34">
        <v>2</v>
      </c>
      <c r="E44" s="34">
        <v>3</v>
      </c>
      <c r="F44" s="34">
        <v>4</v>
      </c>
      <c r="G44" s="34">
        <v>5</v>
      </c>
      <c r="H44" s="34">
        <v>6</v>
      </c>
      <c r="I44" s="34">
        <v>7</v>
      </c>
      <c r="J44" s="34">
        <v>8</v>
      </c>
      <c r="K44" s="34">
        <v>9</v>
      </c>
      <c r="L44" s="35">
        <v>10</v>
      </c>
      <c r="M44" s="34"/>
      <c r="N44" s="84" t="s">
        <v>335</v>
      </c>
      <c r="O44" s="89">
        <f>(1/(C42*((1+C43)^2)))*SUM(C47:L47)</f>
        <v>5.4386072534920729</v>
      </c>
      <c r="P44" s="34"/>
      <c r="Q44" s="34"/>
      <c r="R44" s="34" t="s">
        <v>362</v>
      </c>
      <c r="S44" s="34">
        <v>0.3605333</v>
      </c>
      <c r="T44" s="34" t="s">
        <v>365</v>
      </c>
      <c r="U44" s="34">
        <f>S42*C32/U42*O34+S43*C42/U42*O44+S44*C51/U42*O53</f>
        <v>10.533932462034533</v>
      </c>
      <c r="V44" s="34"/>
      <c r="W44" s="34"/>
      <c r="X44" s="34"/>
      <c r="Y44" s="34"/>
      <c r="Z44" s="34"/>
      <c r="AA44" s="34"/>
      <c r="AB44" s="1"/>
    </row>
    <row r="45" spans="1:30" x14ac:dyDescent="0.2">
      <c r="A45" s="34"/>
      <c r="B45" s="80" t="s">
        <v>339</v>
      </c>
      <c r="C45" s="83">
        <v>3</v>
      </c>
      <c r="D45" s="83">
        <v>103</v>
      </c>
      <c r="E45" s="83">
        <v>0</v>
      </c>
      <c r="F45" s="83"/>
      <c r="G45" s="83"/>
      <c r="H45" s="83"/>
      <c r="I45" s="83"/>
      <c r="J45" s="83"/>
      <c r="K45" s="83"/>
      <c r="L45" s="81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1"/>
    </row>
    <row r="46" spans="1:30" x14ac:dyDescent="0.2">
      <c r="A46" s="34"/>
      <c r="B46" s="80" t="s">
        <v>342</v>
      </c>
      <c r="C46" s="34">
        <f>C44*C45/((1+$C$33)^C44)</f>
        <v>2.8846153846153846</v>
      </c>
      <c r="D46" s="34">
        <f t="shared" ref="D46:L46" si="5">D44*D45/((1+$C$33)^D44)</f>
        <v>190.45857988165679</v>
      </c>
      <c r="E46" s="34">
        <f t="shared" si="5"/>
        <v>0</v>
      </c>
      <c r="F46" s="34">
        <f t="shared" si="5"/>
        <v>0</v>
      </c>
      <c r="G46" s="34">
        <f t="shared" si="5"/>
        <v>0</v>
      </c>
      <c r="H46" s="34">
        <f t="shared" si="5"/>
        <v>0</v>
      </c>
      <c r="I46" s="34">
        <f t="shared" si="5"/>
        <v>0</v>
      </c>
      <c r="J46" s="34">
        <f t="shared" si="5"/>
        <v>0</v>
      </c>
      <c r="K46" s="34">
        <f t="shared" si="5"/>
        <v>0</v>
      </c>
      <c r="L46" s="35">
        <f t="shared" si="5"/>
        <v>0</v>
      </c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1"/>
    </row>
    <row r="47" spans="1:30" x14ac:dyDescent="0.2">
      <c r="A47" s="34"/>
      <c r="B47" s="84" t="s">
        <v>342</v>
      </c>
      <c r="C47" s="86">
        <f>(C44*(C44+1)*C45/((1+$C$33)^C44))</f>
        <v>5.7692307692307692</v>
      </c>
      <c r="D47" s="86">
        <f>(D44*(D44+1)*D45/((1+$C$33)^D44))</f>
        <v>571.37573964497039</v>
      </c>
      <c r="E47" s="86">
        <f t="shared" ref="D47:L47" si="6">(E44*(E44+1)*E45/((1+$C$33)^E44))</f>
        <v>0</v>
      </c>
      <c r="F47" s="86">
        <f t="shared" si="6"/>
        <v>0</v>
      </c>
      <c r="G47" s="86">
        <f t="shared" si="6"/>
        <v>0</v>
      </c>
      <c r="H47" s="86">
        <f t="shared" si="6"/>
        <v>0</v>
      </c>
      <c r="I47" s="86">
        <f t="shared" si="6"/>
        <v>0</v>
      </c>
      <c r="J47" s="86">
        <f t="shared" si="6"/>
        <v>0</v>
      </c>
      <c r="K47" s="86">
        <f t="shared" si="6"/>
        <v>0</v>
      </c>
      <c r="L47" s="89">
        <f t="shared" si="6"/>
        <v>0</v>
      </c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1"/>
    </row>
    <row r="48" spans="1:30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1"/>
    </row>
    <row r="49" spans="1:28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1"/>
    </row>
    <row r="50" spans="1:28" x14ac:dyDescent="0.2">
      <c r="A50" s="34"/>
      <c r="B50" s="77" t="s">
        <v>345</v>
      </c>
      <c r="C50" s="79"/>
      <c r="D50" s="79"/>
      <c r="E50" s="79"/>
      <c r="F50" s="79"/>
      <c r="G50" s="79"/>
      <c r="H50" s="79"/>
      <c r="I50" s="79"/>
      <c r="J50" s="79"/>
      <c r="K50" s="79"/>
      <c r="L50" s="78"/>
      <c r="M50" s="34"/>
      <c r="N50" s="77" t="s">
        <v>340</v>
      </c>
      <c r="O50" s="78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1"/>
    </row>
    <row r="51" spans="1:28" x14ac:dyDescent="0.2">
      <c r="A51" s="34"/>
      <c r="B51" s="80" t="s">
        <v>330</v>
      </c>
      <c r="C51" s="83">
        <v>85.480400000000003</v>
      </c>
      <c r="D51" s="34"/>
      <c r="E51" s="34"/>
      <c r="F51" s="34"/>
      <c r="G51" s="34"/>
      <c r="H51" s="34"/>
      <c r="I51" s="34"/>
      <c r="J51" s="34"/>
      <c r="K51" s="34"/>
      <c r="L51" s="35"/>
      <c r="M51" s="34"/>
      <c r="N51" s="80" t="s">
        <v>343</v>
      </c>
      <c r="O51" s="35">
        <f>(1/C51)*(1/(1+C52))*SUM(C55:L55)</f>
        <v>3.8461547056838832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1"/>
    </row>
    <row r="52" spans="1:28" x14ac:dyDescent="0.2">
      <c r="A52" s="34"/>
      <c r="B52" s="80" t="s">
        <v>341</v>
      </c>
      <c r="C52" s="83">
        <v>0.04</v>
      </c>
      <c r="D52" s="34"/>
      <c r="E52" s="34"/>
      <c r="F52" s="34"/>
      <c r="G52" s="34"/>
      <c r="H52" s="34"/>
      <c r="I52" s="34"/>
      <c r="J52" s="34"/>
      <c r="K52" s="34"/>
      <c r="L52" s="35"/>
      <c r="M52" s="34"/>
      <c r="N52" s="80" t="s">
        <v>344</v>
      </c>
      <c r="O52" s="35">
        <f>(1+C52)*O51</f>
        <v>4.0000008939112384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1"/>
    </row>
    <row r="53" spans="1:28" x14ac:dyDescent="0.2">
      <c r="A53" s="34"/>
      <c r="B53" s="80" t="s">
        <v>3</v>
      </c>
      <c r="C53" s="34">
        <v>1</v>
      </c>
      <c r="D53" s="34">
        <v>2</v>
      </c>
      <c r="E53" s="34">
        <v>3</v>
      </c>
      <c r="F53" s="34">
        <v>4</v>
      </c>
      <c r="G53" s="34">
        <v>5</v>
      </c>
      <c r="H53" s="34">
        <v>6</v>
      </c>
      <c r="I53" s="34">
        <v>7</v>
      </c>
      <c r="J53" s="34">
        <v>8</v>
      </c>
      <c r="K53" s="34">
        <v>9</v>
      </c>
      <c r="L53" s="35">
        <v>10</v>
      </c>
      <c r="M53" s="34"/>
      <c r="N53" s="84" t="s">
        <v>335</v>
      </c>
      <c r="O53" s="89">
        <f>(1/(C51*((1+C52)^2)))*SUM(C56:L56)</f>
        <v>18.491128392710976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1"/>
    </row>
    <row r="54" spans="1:28" x14ac:dyDescent="0.2">
      <c r="A54" s="34"/>
      <c r="B54" s="80" t="s">
        <v>339</v>
      </c>
      <c r="C54" s="83">
        <v>0</v>
      </c>
      <c r="D54" s="83">
        <v>0</v>
      </c>
      <c r="E54" s="83">
        <v>0</v>
      </c>
      <c r="F54" s="83">
        <v>100</v>
      </c>
      <c r="G54" s="83"/>
      <c r="H54" s="83"/>
      <c r="I54" s="83"/>
      <c r="J54" s="83"/>
      <c r="K54" s="83"/>
      <c r="L54" s="81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1"/>
    </row>
    <row r="55" spans="1:28" x14ac:dyDescent="0.2">
      <c r="A55" s="34"/>
      <c r="B55" s="80" t="s">
        <v>342</v>
      </c>
      <c r="C55" s="34">
        <f>C53*C54/((1+$C$33)^C53)</f>
        <v>0</v>
      </c>
      <c r="D55" s="34">
        <f t="shared" ref="D55:L55" si="7">D53*D54/((1+$C$33)^D53)</f>
        <v>0</v>
      </c>
      <c r="E55" s="34">
        <f t="shared" si="7"/>
        <v>0</v>
      </c>
      <c r="F55" s="34">
        <f>F53*F54/((1+$C$33)^F53)</f>
        <v>341.9216764118903</v>
      </c>
      <c r="G55" s="34">
        <f t="shared" si="7"/>
        <v>0</v>
      </c>
      <c r="H55" s="34">
        <f t="shared" si="7"/>
        <v>0</v>
      </c>
      <c r="I55" s="34">
        <f t="shared" si="7"/>
        <v>0</v>
      </c>
      <c r="J55" s="34">
        <f t="shared" si="7"/>
        <v>0</v>
      </c>
      <c r="K55" s="34">
        <f t="shared" si="7"/>
        <v>0</v>
      </c>
      <c r="L55" s="35">
        <f t="shared" si="7"/>
        <v>0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1"/>
    </row>
    <row r="56" spans="1:28" x14ac:dyDescent="0.2">
      <c r="A56" s="34"/>
      <c r="B56" s="84" t="s">
        <v>342</v>
      </c>
      <c r="C56" s="86">
        <f>(C53*(C53+1)*C54/((1+$C$33)^C53))</f>
        <v>0</v>
      </c>
      <c r="D56" s="86">
        <f t="shared" ref="D56:L56" si="8">(D53*(D53+1)*D54/((1+$C$33)^D53))</f>
        <v>0</v>
      </c>
      <c r="E56" s="86">
        <f t="shared" si="8"/>
        <v>0</v>
      </c>
      <c r="F56" s="86">
        <f t="shared" si="8"/>
        <v>1709.6083820594513</v>
      </c>
      <c r="G56" s="86">
        <f t="shared" si="8"/>
        <v>0</v>
      </c>
      <c r="H56" s="86">
        <f t="shared" si="8"/>
        <v>0</v>
      </c>
      <c r="I56" s="86">
        <f t="shared" si="8"/>
        <v>0</v>
      </c>
      <c r="J56" s="86">
        <f t="shared" si="8"/>
        <v>0</v>
      </c>
      <c r="K56" s="86">
        <f t="shared" si="8"/>
        <v>0</v>
      </c>
      <c r="L56" s="89">
        <f t="shared" si="8"/>
        <v>0</v>
      </c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1"/>
    </row>
    <row r="57" spans="1:28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1"/>
    </row>
    <row r="58" spans="1:28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8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12</vt:i4>
      </vt:variant>
    </vt:vector>
  </HeadingPairs>
  <TitlesOfParts>
    <vt:vector size="12" baseType="lpstr">
      <vt:lpstr>Pricing American put options</vt:lpstr>
      <vt:lpstr>Short rate lattice</vt:lpstr>
      <vt:lpstr>State prices from short rate la</vt:lpstr>
      <vt:lpstr>Cash flow lattice</vt:lpstr>
      <vt:lpstr>Binomial tree stock price T=2</vt:lpstr>
      <vt:lpstr>Binomial tree stock price T=3</vt:lpstr>
      <vt:lpstr>Binomial tree arbitrary T=2</vt:lpstr>
      <vt:lpstr>Binomial tree arbitrary T=3</vt:lpstr>
      <vt:lpstr>Binomial tree arbitrary T=4</vt:lpstr>
      <vt:lpstr>Interest rate tree</vt:lpstr>
      <vt:lpstr>APT</vt:lpstr>
      <vt:lpstr>Bonds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 Liv Berdiin</dc:creator>
  <cp:lastModifiedBy>Asger Konradi Lauridsen</cp:lastModifiedBy>
  <dcterms:created xsi:type="dcterms:W3CDTF">2024-12-21T18:34:22Z</dcterms:created>
  <dcterms:modified xsi:type="dcterms:W3CDTF">2025-01-13T15:47:37Z</dcterms:modified>
</cp:coreProperties>
</file>