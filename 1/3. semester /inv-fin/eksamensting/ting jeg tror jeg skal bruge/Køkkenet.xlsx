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geraircool/Desktop/inv-fin/eksamensting/ting jeg tror jeg skal bruge/"/>
    </mc:Choice>
  </mc:AlternateContent>
  <xr:revisionPtr revIDLastSave="0" documentId="13_ncr:1_{9B00BC02-5822-9D41-AA5E-2F3333153BCF}" xr6:coauthVersionLast="47" xr6:coauthVersionMax="47" xr10:uidLastSave="{00000000-0000-0000-0000-000000000000}"/>
  <bookViews>
    <workbookView xWindow="0" yWindow="760" windowWidth="29400" windowHeight="16440" firstSheet="1" activeTab="2" xr2:uid="{C1F17C15-2C1B-134B-9635-7316B3A46297}"/>
  </bookViews>
  <sheets>
    <sheet name="forside" sheetId="1" r:id="rId1"/>
    <sheet name="derivater på binomialtræ(1 per)" sheetId="2" r:id="rId2"/>
    <sheet name="derivater på binomialtræ(2 per)" sheetId="9" r:id="rId3"/>
    <sheet name="bond market stokastisk" sheetId="5" r:id="rId4"/>
    <sheet name="portføljeteori" sheetId="3" r:id="rId5"/>
    <sheet name="bond market" sheetId="4" r:id="rId6"/>
    <sheet name="factormodel" sheetId="6" r:id="rId7"/>
    <sheet name="BSM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1" i="9" l="1"/>
  <c r="P48" i="5"/>
  <c r="R48" i="5"/>
  <c r="T48" i="5"/>
  <c r="V48" i="5"/>
  <c r="V44" i="5"/>
  <c r="V43" i="5"/>
  <c r="V42" i="5"/>
  <c r="V41" i="5"/>
  <c r="V39" i="5"/>
  <c r="V38" i="5"/>
  <c r="T38" i="5"/>
  <c r="V37" i="5"/>
  <c r="V36" i="5"/>
  <c r="T44" i="5"/>
  <c r="T43" i="5"/>
  <c r="T42" i="5"/>
  <c r="T41" i="5"/>
  <c r="T39" i="5"/>
  <c r="H37" i="5"/>
  <c r="H38" i="5"/>
  <c r="H42" i="5"/>
  <c r="H43" i="5"/>
  <c r="F43" i="5"/>
  <c r="F42" i="5"/>
  <c r="F38" i="5"/>
  <c r="F37" i="5"/>
  <c r="T37" i="5"/>
  <c r="T36" i="5"/>
  <c r="R37" i="5"/>
  <c r="R43" i="5"/>
  <c r="R42" i="5"/>
  <c r="R38" i="5"/>
  <c r="P42" i="5"/>
  <c r="P38" i="5"/>
  <c r="H40" i="5" l="1"/>
  <c r="L43" i="5"/>
  <c r="E28" i="4"/>
  <c r="AD8" i="4"/>
  <c r="AD7" i="4"/>
  <c r="AD6" i="4"/>
  <c r="O7" i="4"/>
  <c r="O6" i="4"/>
  <c r="O5" i="4"/>
  <c r="S11" i="4"/>
  <c r="T11" i="4"/>
  <c r="U11" i="4"/>
  <c r="V11" i="4"/>
  <c r="W11" i="4"/>
  <c r="X11" i="4"/>
  <c r="Y11" i="4"/>
  <c r="Z11" i="4"/>
  <c r="AA11" i="4"/>
  <c r="R11" i="4"/>
  <c r="S10" i="4"/>
  <c r="T10" i="4"/>
  <c r="U10" i="4"/>
  <c r="V10" i="4"/>
  <c r="W10" i="4"/>
  <c r="X10" i="4"/>
  <c r="Y10" i="4"/>
  <c r="Z10" i="4"/>
  <c r="AA10" i="4"/>
  <c r="R10" i="4"/>
  <c r="D28" i="4"/>
  <c r="F28" i="4"/>
  <c r="G28" i="4"/>
  <c r="H28" i="4"/>
  <c r="I28" i="4"/>
  <c r="J28" i="4"/>
  <c r="K28" i="4"/>
  <c r="L28" i="4"/>
  <c r="C28" i="4"/>
  <c r="L29" i="4"/>
  <c r="D29" i="4"/>
  <c r="E29" i="4"/>
  <c r="F29" i="4"/>
  <c r="G29" i="4"/>
  <c r="H29" i="4"/>
  <c r="I29" i="4"/>
  <c r="J29" i="4"/>
  <c r="K29" i="4"/>
  <c r="C29" i="4"/>
  <c r="E20" i="4"/>
  <c r="F20" i="4"/>
  <c r="G20" i="4"/>
  <c r="H20" i="4"/>
  <c r="I20" i="4"/>
  <c r="J20" i="4"/>
  <c r="K20" i="4"/>
  <c r="L20" i="4"/>
  <c r="D20" i="4"/>
  <c r="C20" i="4"/>
  <c r="D10" i="4"/>
  <c r="E10" i="4"/>
  <c r="F10" i="4"/>
  <c r="G10" i="4"/>
  <c r="H10" i="4"/>
  <c r="I10" i="4"/>
  <c r="J10" i="4"/>
  <c r="K10" i="4"/>
  <c r="L10" i="4"/>
  <c r="C10" i="4"/>
  <c r="D19" i="4"/>
  <c r="E19" i="4"/>
  <c r="F19" i="4"/>
  <c r="G19" i="4"/>
  <c r="H19" i="4"/>
  <c r="I19" i="4"/>
  <c r="J19" i="4"/>
  <c r="K19" i="4"/>
  <c r="L19" i="4"/>
  <c r="C19" i="4"/>
  <c r="O15" i="4" s="1"/>
  <c r="O16" i="4" s="1"/>
  <c r="D9" i="4"/>
  <c r="E9" i="4"/>
  <c r="F9" i="4"/>
  <c r="G9" i="4"/>
  <c r="H9" i="4"/>
  <c r="I9" i="4"/>
  <c r="J9" i="4"/>
  <c r="K9" i="4"/>
  <c r="L9" i="4"/>
  <c r="C9" i="4"/>
  <c r="B89" i="5"/>
  <c r="C81" i="5"/>
  <c r="C77" i="5"/>
  <c r="C79" i="5"/>
  <c r="B88" i="5"/>
  <c r="B87" i="5"/>
  <c r="U15" i="4"/>
  <c r="D38" i="5"/>
  <c r="P6" i="9"/>
  <c r="O7" i="9"/>
  <c r="Q7" i="9"/>
  <c r="P8" i="9"/>
  <c r="Q9" i="9"/>
  <c r="Q5" i="9"/>
  <c r="D81" i="9"/>
  <c r="D83" i="9"/>
  <c r="D79" i="9"/>
  <c r="O24" i="4" l="1"/>
  <c r="O25" i="4" s="1"/>
  <c r="O26" i="4"/>
  <c r="O17" i="4"/>
  <c r="U17" i="4" l="1"/>
  <c r="U16" i="4"/>
  <c r="E65" i="5"/>
  <c r="D65" i="9"/>
  <c r="J46" i="9"/>
  <c r="B46" i="5"/>
  <c r="D42" i="5"/>
  <c r="C31" i="5"/>
  <c r="C29" i="5"/>
  <c r="D23" i="5"/>
  <c r="J81" i="5" s="1"/>
  <c r="D21" i="5"/>
  <c r="J79" i="5" s="1"/>
  <c r="D19" i="5"/>
  <c r="I136" i="9"/>
  <c r="C40" i="3"/>
  <c r="T7" i="3"/>
  <c r="T6" i="3"/>
  <c r="X7" i="3" s="1"/>
  <c r="T5" i="3"/>
  <c r="H17" i="9"/>
  <c r="H18" i="9"/>
  <c r="B167" i="9"/>
  <c r="B174" i="9" s="1"/>
  <c r="A166" i="9"/>
  <c r="A173" i="9" s="1"/>
  <c r="B165" i="9"/>
  <c r="B172" i="9" s="1"/>
  <c r="N178" i="9"/>
  <c r="O178" i="9"/>
  <c r="M179" i="9"/>
  <c r="P179" i="9"/>
  <c r="P180" i="9"/>
  <c r="N181" i="9"/>
  <c r="O181" i="9"/>
  <c r="P182" i="9"/>
  <c r="P177" i="9"/>
  <c r="N184" i="9"/>
  <c r="P171" i="9"/>
  <c r="P169" i="9"/>
  <c r="P168" i="9"/>
  <c r="P166" i="9"/>
  <c r="O167" i="9"/>
  <c r="O170" i="9"/>
  <c r="N170" i="9"/>
  <c r="N167" i="9"/>
  <c r="H197" i="9"/>
  <c r="M200" i="9"/>
  <c r="J202" i="9"/>
  <c r="J200" i="9"/>
  <c r="J199" i="9"/>
  <c r="J197" i="9"/>
  <c r="J196" i="9"/>
  <c r="I196" i="9"/>
  <c r="I197" i="9"/>
  <c r="I200" i="9"/>
  <c r="I199" i="9"/>
  <c r="J19" i="5" l="1"/>
  <c r="L19" i="5" s="1"/>
  <c r="D63" i="5"/>
  <c r="J77" i="5"/>
  <c r="F40" i="5"/>
  <c r="C22" i="5"/>
  <c r="B80" i="5" s="1"/>
  <c r="B75" i="5"/>
  <c r="J23" i="5"/>
  <c r="J21" i="5"/>
  <c r="L21" i="5" s="1"/>
  <c r="D65" i="5"/>
  <c r="D67" i="5"/>
  <c r="D61" i="9"/>
  <c r="C164" i="9"/>
  <c r="C171" i="9" s="1"/>
  <c r="C180" i="9" s="1"/>
  <c r="D44" i="9"/>
  <c r="J44" i="9"/>
  <c r="J61" i="9"/>
  <c r="Q44" i="9"/>
  <c r="C168" i="9"/>
  <c r="C175" i="9" s="1"/>
  <c r="C184" i="9" s="1"/>
  <c r="Q46" i="9"/>
  <c r="D46" i="9"/>
  <c r="J48" i="9"/>
  <c r="C166" i="9"/>
  <c r="C173" i="9" s="1"/>
  <c r="C182" i="9" s="1"/>
  <c r="Q48" i="9"/>
  <c r="D48" i="9"/>
  <c r="J63" i="9"/>
  <c r="D63" i="9"/>
  <c r="J65" i="9"/>
  <c r="X6" i="3"/>
  <c r="X5" i="3"/>
  <c r="D46" i="5"/>
  <c r="B30" i="5"/>
  <c r="C20" i="5"/>
  <c r="B78" i="5" s="1"/>
  <c r="I78" i="5" l="1"/>
  <c r="B86" i="5"/>
  <c r="I80" i="5"/>
  <c r="B85" i="5"/>
  <c r="C75" i="5"/>
  <c r="D75" i="5" s="1"/>
  <c r="C64" i="5"/>
  <c r="C66" i="5"/>
  <c r="D49" i="5"/>
  <c r="N19" i="5"/>
  <c r="B21" i="5"/>
  <c r="F46" i="5"/>
  <c r="H46" i="5" l="1"/>
  <c r="H79" i="5" s="1"/>
  <c r="B52" i="5"/>
  <c r="D52" i="5"/>
  <c r="F49" i="5"/>
  <c r="A79" i="5" l="1"/>
  <c r="B84" i="5"/>
  <c r="H49" i="5"/>
  <c r="H205" i="9"/>
  <c r="H202" i="9"/>
  <c r="I202" i="9"/>
  <c r="I205" i="9" s="1"/>
  <c r="J205" i="9"/>
  <c r="H199" i="9"/>
  <c r="G6" i="3"/>
  <c r="G5" i="3"/>
  <c r="F5" i="3"/>
  <c r="I5" i="3" l="1" a="1"/>
  <c r="I5" i="3" s="1"/>
  <c r="P6" i="3" s="1" a="1"/>
  <c r="P6" i="3" s="1"/>
  <c r="H113" i="9"/>
  <c r="I114" i="9"/>
  <c r="I112" i="9"/>
  <c r="J115" i="9"/>
  <c r="J113" i="9"/>
  <c r="J111" i="9"/>
  <c r="J108" i="9"/>
  <c r="J106" i="9"/>
  <c r="D149" i="9"/>
  <c r="J155" i="9"/>
  <c r="J147" i="9" s="1"/>
  <c r="J153" i="9"/>
  <c r="J145" i="9" s="1"/>
  <c r="J149" i="9"/>
  <c r="D145" i="9"/>
  <c r="D155" i="9"/>
  <c r="D147" i="9" s="1"/>
  <c r="I134" i="9"/>
  <c r="H135" i="9"/>
  <c r="J135" i="9"/>
  <c r="J137" i="9"/>
  <c r="J133" i="9"/>
  <c r="J126" i="9"/>
  <c r="J104" i="9"/>
  <c r="J130" i="9"/>
  <c r="J128" i="9"/>
  <c r="B27" i="9"/>
  <c r="B18" i="9"/>
  <c r="O46" i="9" s="1"/>
  <c r="B135" i="9"/>
  <c r="C134" i="9"/>
  <c r="C136" i="9"/>
  <c r="D137" i="9"/>
  <c r="D135" i="9"/>
  <c r="D133" i="9"/>
  <c r="D130" i="9"/>
  <c r="D128" i="9"/>
  <c r="D126" i="9"/>
  <c r="B113" i="9"/>
  <c r="C112" i="9"/>
  <c r="D104" i="9"/>
  <c r="D113" i="9"/>
  <c r="C114" i="9"/>
  <c r="D115" i="9"/>
  <c r="D111" i="9"/>
  <c r="D108" i="9"/>
  <c r="D106" i="9"/>
  <c r="B88" i="9"/>
  <c r="B87" i="9"/>
  <c r="J83" i="9"/>
  <c r="J81" i="9"/>
  <c r="J79" i="9"/>
  <c r="H53" i="9"/>
  <c r="H53" i="2"/>
  <c r="H33" i="2"/>
  <c r="C53" i="2"/>
  <c r="B53" i="2"/>
  <c r="B33" i="2"/>
  <c r="I28" i="9"/>
  <c r="H28" i="9"/>
  <c r="I27" i="9"/>
  <c r="H27" i="9"/>
  <c r="I26" i="9"/>
  <c r="H26" i="9"/>
  <c r="C28" i="9"/>
  <c r="B28" i="9"/>
  <c r="C27" i="9"/>
  <c r="C26" i="9"/>
  <c r="B26" i="9"/>
  <c r="B17" i="9"/>
  <c r="I40" i="2"/>
  <c r="H43" i="2" s="1"/>
  <c r="I38" i="2"/>
  <c r="I28" i="2"/>
  <c r="I30" i="2"/>
  <c r="C40" i="2"/>
  <c r="C43" i="2" s="1"/>
  <c r="C38" i="2"/>
  <c r="C30" i="2"/>
  <c r="C33" i="2" s="1"/>
  <c r="C28" i="2"/>
  <c r="J17" i="2"/>
  <c r="I17" i="2"/>
  <c r="H18" i="2" s="1"/>
  <c r="H17" i="2"/>
  <c r="I53" i="2" s="1"/>
  <c r="C17" i="2"/>
  <c r="B17" i="2"/>
  <c r="H12" i="2"/>
  <c r="B13" i="2"/>
  <c r="D17" i="2" s="1"/>
  <c r="N6" i="3" l="1" a="1"/>
  <c r="N6" i="3" s="1"/>
  <c r="O6" i="3" a="1"/>
  <c r="O6" i="3" s="1"/>
  <c r="C33" i="3" a="1"/>
  <c r="C33" i="3" s="1"/>
  <c r="G33" i="3" s="1" a="1"/>
  <c r="G33" i="3" s="1"/>
  <c r="K35" i="3" a="1"/>
  <c r="K35" i="3" s="1"/>
  <c r="A14" i="3" a="1"/>
  <c r="A14" i="3" s="1"/>
  <c r="C14" i="3" s="1" a="1"/>
  <c r="C14" i="3" s="1"/>
  <c r="Q6" i="3"/>
  <c r="C23" i="3" s="1" a="1"/>
  <c r="C23" i="3" s="1"/>
  <c r="B52" i="9"/>
  <c r="B70" i="9"/>
  <c r="H52" i="9"/>
  <c r="B69" i="9"/>
  <c r="H88" i="9"/>
  <c r="H87" i="9"/>
  <c r="B53" i="9"/>
  <c r="H70" i="9"/>
  <c r="H69" i="9"/>
  <c r="B18" i="2"/>
  <c r="B21" i="2"/>
  <c r="H21" i="2"/>
  <c r="I33" i="2"/>
  <c r="I43" i="2"/>
  <c r="B43" i="2"/>
  <c r="H19" i="9"/>
  <c r="J26" i="9"/>
  <c r="H33" i="9" s="1"/>
  <c r="D26" i="9"/>
  <c r="B33" i="9" s="1"/>
  <c r="B19" i="9"/>
  <c r="E33" i="3" l="1" a="1"/>
  <c r="E33" i="3" s="1"/>
  <c r="F33" i="3" s="1"/>
  <c r="E36" i="3" s="1"/>
  <c r="E40" i="3" s="1"/>
  <c r="E23" i="3" a="1"/>
  <c r="E23" i="3" s="1"/>
  <c r="F23" i="3" s="1"/>
  <c r="P47" i="9"/>
  <c r="P45" i="9"/>
  <c r="D14" i="3" a="1"/>
  <c r="D14" i="3" s="1"/>
  <c r="E14" i="3" s="1"/>
  <c r="C88" i="9"/>
  <c r="I88" i="9"/>
  <c r="I87" i="9"/>
  <c r="C69" i="9"/>
  <c r="C70" i="9"/>
  <c r="I33" i="9"/>
  <c r="C87" i="9"/>
  <c r="J28" i="9"/>
  <c r="K28" i="9" s="1"/>
  <c r="I70" i="9"/>
  <c r="I53" i="9"/>
  <c r="I52" i="9"/>
  <c r="I69" i="9"/>
  <c r="C53" i="9"/>
  <c r="C52" i="9"/>
  <c r="I21" i="2"/>
  <c r="H49" i="2" s="1"/>
  <c r="C21" i="2"/>
  <c r="B39" i="2" s="1"/>
  <c r="B49" i="2"/>
  <c r="H29" i="2"/>
  <c r="C33" i="9"/>
  <c r="J27" i="9"/>
  <c r="K27" i="9" s="1"/>
  <c r="K26" i="9"/>
  <c r="D27" i="9"/>
  <c r="B34" i="9" s="1"/>
  <c r="D28" i="9"/>
  <c r="E26" i="9"/>
  <c r="L14" i="3" l="1" a="1"/>
  <c r="O16" i="3" s="1"/>
  <c r="O87" i="9"/>
  <c r="Q54" i="9"/>
  <c r="Q52" i="9"/>
  <c r="P63" i="9" s="1"/>
  <c r="P53" i="9"/>
  <c r="Q55" i="9"/>
  <c r="Q57" i="9"/>
  <c r="P56" i="9"/>
  <c r="H34" i="9"/>
  <c r="H35" i="9"/>
  <c r="B29" i="2"/>
  <c r="H39" i="2"/>
  <c r="K30" i="9"/>
  <c r="B35" i="9"/>
  <c r="E28" i="9"/>
  <c r="E27" i="9"/>
  <c r="E30" i="9" l="1"/>
  <c r="O15" i="3"/>
  <c r="L14" i="3"/>
  <c r="O14" i="3" s="1"/>
  <c r="P65" i="9"/>
  <c r="O64" i="9"/>
  <c r="I34" i="9"/>
  <c r="I62" i="9" s="1"/>
  <c r="I45" i="9"/>
  <c r="I105" i="9"/>
  <c r="I127" i="9"/>
  <c r="I35" i="9"/>
  <c r="I47" i="9" s="1"/>
  <c r="C34" i="9"/>
  <c r="C45" i="9" s="1"/>
  <c r="C35" i="9"/>
  <c r="C47" i="9" s="1"/>
  <c r="H46" i="9" l="1"/>
  <c r="I80" i="9"/>
  <c r="I129" i="9"/>
  <c r="H139" i="9" s="1"/>
  <c r="I148" i="9"/>
  <c r="I107" i="9"/>
  <c r="H106" i="9"/>
  <c r="H118" i="9"/>
  <c r="D139" i="9"/>
  <c r="C148" i="9"/>
  <c r="I118" i="9"/>
  <c r="C154" i="9"/>
  <c r="B155" i="9" s="1"/>
  <c r="I139" i="9"/>
  <c r="I154" i="9"/>
  <c r="C139" i="9"/>
  <c r="D118" i="9"/>
  <c r="C129" i="9"/>
  <c r="J118" i="9"/>
  <c r="J139" i="9"/>
  <c r="C107" i="9"/>
  <c r="C80" i="9"/>
  <c r="C127" i="9"/>
  <c r="C118" i="9"/>
  <c r="C105" i="9"/>
  <c r="C62" i="9"/>
  <c r="B46" i="9"/>
  <c r="I64" i="9"/>
  <c r="H63" i="9" s="1"/>
  <c r="C64" i="9"/>
  <c r="H51" i="9"/>
  <c r="I51" i="9"/>
  <c r="I82" i="9"/>
  <c r="C82" i="9"/>
  <c r="H128" i="9" l="1"/>
  <c r="B51" i="9"/>
  <c r="C146" i="9"/>
  <c r="B147" i="9" s="1"/>
  <c r="B68" i="9"/>
  <c r="B118" i="9"/>
  <c r="B128" i="9"/>
  <c r="B139" i="9"/>
  <c r="H155" i="9"/>
  <c r="I146" i="9"/>
  <c r="B106" i="9"/>
  <c r="C68" i="9"/>
  <c r="B63" i="9"/>
  <c r="B86" i="9"/>
  <c r="B81" i="9"/>
  <c r="C86" i="9"/>
  <c r="H81" i="9"/>
  <c r="H86" i="9"/>
  <c r="I86" i="9"/>
  <c r="C51" i="9"/>
  <c r="H68" i="9"/>
  <c r="I68" i="9"/>
  <c r="H147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<sst xmlns="http://schemas.openxmlformats.org/spreadsheetml/2006/main" count="540" uniqueCount="229">
  <si>
    <t>Køkkenet</t>
  </si>
  <si>
    <t>s</t>
  </si>
  <si>
    <t>1 periode</t>
  </si>
  <si>
    <t>indskriv træ:</t>
  </si>
  <si>
    <t>diskret rentetilskriving:</t>
  </si>
  <si>
    <t>r</t>
  </si>
  <si>
    <t>m</t>
  </si>
  <si>
    <t>diskonteringsfaktor</t>
  </si>
  <si>
    <t>kontinuert diskontering</t>
  </si>
  <si>
    <t>tidspunkt</t>
  </si>
  <si>
    <t>t=0</t>
  </si>
  <si>
    <t>t=t_1</t>
  </si>
  <si>
    <t>diskonteringfactor</t>
  </si>
  <si>
    <t>d</t>
  </si>
  <si>
    <t>u</t>
  </si>
  <si>
    <t>ups and downs + arbitragetjek:</t>
  </si>
  <si>
    <t>1/disk</t>
  </si>
  <si>
    <t>tjek:</t>
  </si>
  <si>
    <t>risikoneutrale sandsynligheder:</t>
  </si>
  <si>
    <t>q</t>
  </si>
  <si>
    <t>1-q</t>
  </si>
  <si>
    <t>call</t>
  </si>
  <si>
    <t>put</t>
  </si>
  <si>
    <t>strike</t>
  </si>
  <si>
    <t>træ med værdier</t>
  </si>
  <si>
    <t>c_0</t>
  </si>
  <si>
    <t>p_0</t>
  </si>
  <si>
    <t>europæriske optioner:</t>
  </si>
  <si>
    <t>prissætning af arbitrært europærisk derivat</t>
  </si>
  <si>
    <t>indsæt payoff til tid T</t>
  </si>
  <si>
    <t>f_0</t>
  </si>
  <si>
    <t>t=T</t>
  </si>
  <si>
    <t>2 perioder</t>
  </si>
  <si>
    <t>t0</t>
  </si>
  <si>
    <t>t1</t>
  </si>
  <si>
    <t>t2</t>
  </si>
  <si>
    <t>s_0</t>
  </si>
  <si>
    <t>tid</t>
  </si>
  <si>
    <t>dikret rentestruktur</t>
  </si>
  <si>
    <t>s_t1</t>
  </si>
  <si>
    <t>s_t2</t>
  </si>
  <si>
    <t>kontinuert rentestruktur</t>
  </si>
  <si>
    <t>d01</t>
  </si>
  <si>
    <t>d12</t>
  </si>
  <si>
    <t>d02</t>
  </si>
  <si>
    <t>up down og arbitragetjek</t>
  </si>
  <si>
    <t>"0"</t>
  </si>
  <si>
    <t>1/d</t>
  </si>
  <si>
    <t>arb tjek</t>
  </si>
  <si>
    <t>state</t>
  </si>
  <si>
    <t>"u"</t>
  </si>
  <si>
    <t>"d"</t>
  </si>
  <si>
    <t>model tjek</t>
  </si>
  <si>
    <t>replikerende portfølje</t>
  </si>
  <si>
    <t>DELTA</t>
  </si>
  <si>
    <t>B</t>
  </si>
  <si>
    <t>fuld frihed</t>
  </si>
  <si>
    <t>arbitrært europærisk derivat</t>
  </si>
  <si>
    <t>indsæt payoff</t>
  </si>
  <si>
    <t>amerikanske derivater:</t>
  </si>
  <si>
    <t>amerikanske optioner</t>
  </si>
  <si>
    <t>payoff ved excercise</t>
  </si>
  <si>
    <t>hvornår exerciser vi?</t>
  </si>
  <si>
    <t>vi kan kun skulle excercise hvis r&lt;0 for et call</t>
  </si>
  <si>
    <t>bemærk at hvis vi vil excercise til tid 0 er der arbitrage</t>
  </si>
  <si>
    <t>arbitrært amerikansk derivat</t>
  </si>
  <si>
    <t xml:space="preserve">payoff skal fyldes ud </t>
  </si>
  <si>
    <t>=</t>
  </si>
  <si>
    <t xml:space="preserve">factormoddeler </t>
  </si>
  <si>
    <t>ettal</t>
  </si>
  <si>
    <t xml:space="preserve">Sigma </t>
  </si>
  <si>
    <t>forventet afkaset</t>
  </si>
  <si>
    <t>Sigmainvers</t>
  </si>
  <si>
    <t>t=2</t>
  </si>
  <si>
    <t>t=1</t>
  </si>
  <si>
    <t>t=3</t>
  </si>
  <si>
    <t>state prices</t>
  </si>
  <si>
    <t>d3</t>
  </si>
  <si>
    <t>d2</t>
  </si>
  <si>
    <t>d1</t>
  </si>
  <si>
    <t>s1</t>
  </si>
  <si>
    <t>s2</t>
  </si>
  <si>
    <t>s3</t>
  </si>
  <si>
    <t>risk neutral probailities</t>
  </si>
  <si>
    <t>mellem</t>
  </si>
  <si>
    <t>underlying</t>
  </si>
  <si>
    <t>exercise tree</t>
  </si>
  <si>
    <t>commodoty swap</t>
  </si>
  <si>
    <t>fixed</t>
  </si>
  <si>
    <t>exit payoff</t>
  </si>
  <si>
    <t>pricing of this option</t>
  </si>
  <si>
    <t>last step is straight forward</t>
  </si>
  <si>
    <t>the value after is a little dificult</t>
  </si>
  <si>
    <t>im thinking it must be the payoff at exercise + discounted expected future profit</t>
  </si>
  <si>
    <t>p_0_e</t>
  </si>
  <si>
    <t>futures payments</t>
  </si>
  <si>
    <t>værditjek</t>
  </si>
  <si>
    <t>burde gerne være omkring 0</t>
  </si>
  <si>
    <t>G(payments)</t>
  </si>
  <si>
    <t>G</t>
  </si>
  <si>
    <t>V(G)</t>
  </si>
  <si>
    <t xml:space="preserve">futures priser i alle stadier=forwardpriser da </t>
  </si>
  <si>
    <t xml:space="preserve">futures på med diskret rente til tid 2 </t>
  </si>
  <si>
    <t>minimum varians</t>
  </si>
  <si>
    <t>markowitz</t>
  </si>
  <si>
    <t>tangens</t>
  </si>
  <si>
    <t>CAPM</t>
  </si>
  <si>
    <t>W</t>
  </si>
  <si>
    <t>my</t>
  </si>
  <si>
    <t>varians</t>
  </si>
  <si>
    <t>SD</t>
  </si>
  <si>
    <t>a</t>
  </si>
  <si>
    <t>b</t>
  </si>
  <si>
    <t>c</t>
  </si>
  <si>
    <t>aktivers SD</t>
  </si>
  <si>
    <t>sigma_1</t>
  </si>
  <si>
    <t xml:space="preserve">sigma_2 </t>
  </si>
  <si>
    <t>sigma_3</t>
  </si>
  <si>
    <t>portføljeteori</t>
  </si>
  <si>
    <t>sd</t>
  </si>
  <si>
    <t>r_f</t>
  </si>
  <si>
    <t>tangensportefølje</t>
  </si>
  <si>
    <t>effecient frontier med risk free asset</t>
  </si>
  <si>
    <t>r_p</t>
  </si>
  <si>
    <t xml:space="preserve">r_f </t>
  </si>
  <si>
    <t>+</t>
  </si>
  <si>
    <t>r_tan</t>
  </si>
  <si>
    <t>(r_tan-r_f)/SD_tan</t>
  </si>
  <si>
    <t>*</t>
  </si>
  <si>
    <t>sigma_p</t>
  </si>
  <si>
    <t>sharp ratio</t>
  </si>
  <si>
    <t>beta for arbitrær portefølje</t>
  </si>
  <si>
    <t>w</t>
  </si>
  <si>
    <t>beta</t>
  </si>
  <si>
    <t>forventet afkast i CAPM</t>
  </si>
  <si>
    <t>betaer for 3 assets</t>
  </si>
  <si>
    <t>SML:</t>
  </si>
  <si>
    <t>r_p=</t>
  </si>
  <si>
    <t>beta_p*</t>
  </si>
  <si>
    <t>(r_m-r_f)</t>
  </si>
  <si>
    <t>r1</t>
  </si>
  <si>
    <t>r2</t>
  </si>
  <si>
    <t>r3</t>
  </si>
  <si>
    <t>forventet afkast på capm</t>
  </si>
  <si>
    <t xml:space="preserve">pricing arbetrary cashflows </t>
  </si>
  <si>
    <t>B_1*F_1+</t>
  </si>
  <si>
    <t>B_2*F_2</t>
  </si>
  <si>
    <t>a_p+</t>
  </si>
  <si>
    <t>with F_i having mean 0</t>
  </si>
  <si>
    <t>2 periode</t>
  </si>
  <si>
    <t>3 periode</t>
  </si>
  <si>
    <t>t=t2</t>
  </si>
  <si>
    <t>interestrate structure</t>
  </si>
  <si>
    <t>risk neutral probabilities</t>
  </si>
  <si>
    <t>t=t1</t>
  </si>
  <si>
    <t>"uu"</t>
  </si>
  <si>
    <t>"ud"</t>
  </si>
  <si>
    <t>"du"</t>
  </si>
  <si>
    <t>"dd"</t>
  </si>
  <si>
    <t>"period one meaning the period from 0 to 1</t>
  </si>
  <si>
    <t>t=t3</t>
  </si>
  <si>
    <t>"uuu"</t>
  </si>
  <si>
    <t>"uud"</t>
  </si>
  <si>
    <t>"udu"</t>
  </si>
  <si>
    <t>"udd"</t>
  </si>
  <si>
    <t>"ddu"</t>
  </si>
  <si>
    <t>"ddd"</t>
  </si>
  <si>
    <t>ZCB prices</t>
  </si>
  <si>
    <t>3 period ZCB</t>
  </si>
  <si>
    <t>2 period ZCB</t>
  </si>
  <si>
    <t>bond prices in all states of the world</t>
  </si>
  <si>
    <t>"duu"</t>
  </si>
  <si>
    <t>"dud"</t>
  </si>
  <si>
    <t>B_0,0</t>
  </si>
  <si>
    <t>B_0,1</t>
  </si>
  <si>
    <t>B_0,2</t>
  </si>
  <si>
    <t>B=0,3</t>
  </si>
  <si>
    <t>s_0,1</t>
  </si>
  <si>
    <t>s_0,2</t>
  </si>
  <si>
    <t>s_0,3</t>
  </si>
  <si>
    <t>s_00</t>
  </si>
  <si>
    <t>f_1,2</t>
  </si>
  <si>
    <t>f_2,3</t>
  </si>
  <si>
    <t>principal</t>
  </si>
  <si>
    <t>pricing a callable cupon bond with eporation at time 3</t>
  </si>
  <si>
    <t>at every period we need to decide weather we would like to pay the cupon and keep the bond or pay the cupon+ the principal</t>
  </si>
  <si>
    <t>cupon</t>
  </si>
  <si>
    <t>pricing of a callable bond option</t>
  </si>
  <si>
    <t>restgæld(skal rettes til)</t>
  </si>
  <si>
    <t xml:space="preserve">værdi af exercise </t>
  </si>
  <si>
    <t>correlationer mellem aktiver</t>
  </si>
  <si>
    <t>rho_2,3</t>
  </si>
  <si>
    <t>rho_1,3</t>
  </si>
  <si>
    <t>rho_1,2</t>
  </si>
  <si>
    <t>wanted return</t>
  </si>
  <si>
    <t>weights</t>
  </si>
  <si>
    <t>variance</t>
  </si>
  <si>
    <t>swap tree</t>
  </si>
  <si>
    <t>fair rate</t>
  </si>
  <si>
    <t>General idea (write nothing in the payment stream if there is nothing at that time)</t>
  </si>
  <si>
    <t>General idea</t>
  </si>
  <si>
    <t>hedge portfolio</t>
  </si>
  <si>
    <t>Price</t>
  </si>
  <si>
    <t>Modified duration</t>
  </si>
  <si>
    <t>Yield to maturity</t>
  </si>
  <si>
    <t>Macauley duration</t>
  </si>
  <si>
    <t>t=</t>
  </si>
  <si>
    <t>Convexity</t>
  </si>
  <si>
    <t>Payment stream</t>
  </si>
  <si>
    <t>Mellemregning</t>
  </si>
  <si>
    <t>tjek weights</t>
  </si>
  <si>
    <t>portfolio:</t>
  </si>
  <si>
    <t>w_A</t>
  </si>
  <si>
    <t>price</t>
  </si>
  <si>
    <t>w_B</t>
  </si>
  <si>
    <t>duration</t>
  </si>
  <si>
    <t>w_C</t>
  </si>
  <si>
    <t>convexity</t>
  </si>
  <si>
    <t>payments</t>
  </si>
  <si>
    <t>do we call?</t>
  </si>
  <si>
    <t>value of remaining payments</t>
  </si>
  <si>
    <t xml:space="preserve"> </t>
  </si>
  <si>
    <t>ZCB Prices</t>
  </si>
  <si>
    <t>spotrates and forwardrates</t>
  </si>
  <si>
    <t>t=t4</t>
  </si>
  <si>
    <t>b_1</t>
  </si>
  <si>
    <t>b_2</t>
  </si>
  <si>
    <t>b_3</t>
  </si>
  <si>
    <t>b_4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</si>
</sst>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2" borderId="0" xfId="0" applyNumberFormat="1" applyFill="1"/>
    <xf numFmtId="2" fontId="0" fillId="0" borderId="0" xfId="0" applyNumberFormat="1"/>
    <xf numFmtId="2" fontId="0" fillId="3" borderId="0" xfId="0" applyNumberFormat="1" applyFill="1"/>
    <xf numFmtId="0" fontId="0" fillId="8" borderId="0" xfId="0" applyFill="1"/>
    <xf numFmtId="0" fontId="0" fillId="9" borderId="0" xfId="0" applyFill="1"/>
    <xf numFmtId="164" fontId="0" fillId="0" borderId="0" xfId="0" applyNumberFormat="1"/>
    <xf numFmtId="164" fontId="0" fillId="7" borderId="0" xfId="0" applyNumberFormat="1" applyFill="1"/>
    <xf numFmtId="164" fontId="0" fillId="5" borderId="0" xfId="0" applyNumberFormat="1" applyFill="1"/>
    <xf numFmtId="164" fontId="0" fillId="8" borderId="0" xfId="0" applyNumberFormat="1" applyFill="1"/>
    <xf numFmtId="164" fontId="0" fillId="6" borderId="0" xfId="0" applyNumberFormat="1" applyFill="1"/>
    <xf numFmtId="164" fontId="0" fillId="3" borderId="0" xfId="0" applyNumberFormat="1" applyFill="1"/>
    <xf numFmtId="164" fontId="0" fillId="3" borderId="0" xfId="1" applyNumberFormat="1" applyFont="1" applyFill="1"/>
    <xf numFmtId="164" fontId="0" fillId="9" borderId="0" xfId="0" applyNumberFormat="1" applyFill="1"/>
    <xf numFmtId="164" fontId="0" fillId="10" borderId="0" xfId="0" applyNumberFormat="1" applyFill="1"/>
    <xf numFmtId="0" fontId="0" fillId="11" borderId="0" xfId="0" applyFill="1"/>
    <xf numFmtId="164" fontId="0" fillId="14" borderId="0" xfId="0" applyNumberFormat="1" applyFill="1"/>
    <xf numFmtId="165" fontId="0" fillId="0" borderId="0" xfId="0" applyNumberFormat="1"/>
    <xf numFmtId="165" fontId="0" fillId="12" borderId="1" xfId="0" applyNumberFormat="1" applyFill="1" applyBorder="1"/>
    <xf numFmtId="165" fontId="0" fillId="12" borderId="2" xfId="0" applyNumberFormat="1" applyFill="1" applyBorder="1"/>
    <xf numFmtId="165" fontId="0" fillId="12" borderId="3" xfId="0" applyNumberFormat="1" applyFill="1" applyBorder="1"/>
    <xf numFmtId="165" fontId="0" fillId="0" borderId="4" xfId="0" applyNumberFormat="1" applyBorder="1"/>
    <xf numFmtId="165" fontId="0" fillId="13" borderId="0" xfId="0" applyNumberFormat="1" applyFill="1"/>
    <xf numFmtId="165" fontId="0" fillId="0" borderId="5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13" borderId="5" xfId="0" applyNumberFormat="1" applyFill="1" applyBorder="1"/>
    <xf numFmtId="165" fontId="0" fillId="0" borderId="8" xfId="0" applyNumberFormat="1" applyBorder="1"/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190500</xdr:rowOff>
    </xdr:from>
    <xdr:to>
      <xdr:col>5</xdr:col>
      <xdr:colOff>770467</xdr:colOff>
      <xdr:row>17</xdr:row>
      <xdr:rowOff>12700</xdr:rowOff>
    </xdr:to>
    <xdr:pic>
      <xdr:nvPicPr>
        <xdr:cNvPr id="2" name="Billede 1" descr="U fucking donut - Gordon Ramsay Hell's Kitchen Meme Generator">
          <a:extLst>
            <a:ext uri="{FF2B5EF4-FFF2-40B4-BE49-F238E27FC236}">
              <a16:creationId xmlns:a16="http://schemas.microsoft.com/office/drawing/2014/main" id="{F4E0CBEC-FB95-E87E-4462-3E452CAB2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96900"/>
          <a:ext cx="4783667" cy="287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82A2-59ED-AE4A-944F-FF6F2FE9ED06}">
  <dimension ref="A1"/>
  <sheetViews>
    <sheetView workbookViewId="0">
      <selection activeCell="H12" sqref="H12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097C-0480-BF4B-BE1E-BA571ADCD9D5}">
  <dimension ref="A1:J53"/>
  <sheetViews>
    <sheetView workbookViewId="0">
      <selection activeCell="G56" sqref="G56"/>
    </sheetView>
  </sheetViews>
  <sheetFormatPr baseColWidth="10" defaultRowHeight="16" x14ac:dyDescent="0.2"/>
  <cols>
    <col min="1" max="1" width="35.83203125" bestFit="1" customWidth="1"/>
    <col min="2" max="2" width="12.83203125" bestFit="1" customWidth="1"/>
    <col min="7" max="7" width="26.6640625" bestFit="1" customWidth="1"/>
    <col min="8" max="8" width="12" bestFit="1" customWidth="1"/>
  </cols>
  <sheetData>
    <row r="1" spans="1:10" x14ac:dyDescent="0.2">
      <c r="A1" t="s">
        <v>2</v>
      </c>
    </row>
    <row r="3" spans="1:10" x14ac:dyDescent="0.2">
      <c r="A3" t="s">
        <v>3</v>
      </c>
      <c r="B3" s="3" t="s">
        <v>10</v>
      </c>
      <c r="C3" s="3" t="s">
        <v>11</v>
      </c>
    </row>
    <row r="4" spans="1:10" x14ac:dyDescent="0.2">
      <c r="A4" t="s">
        <v>9</v>
      </c>
      <c r="B4" s="4">
        <v>0</v>
      </c>
      <c r="C4" s="4">
        <v>1</v>
      </c>
    </row>
    <row r="6" spans="1:10" x14ac:dyDescent="0.2">
      <c r="C6" s="7">
        <v>1.2</v>
      </c>
    </row>
    <row r="7" spans="1:10" x14ac:dyDescent="0.2">
      <c r="B7" s="1">
        <v>1</v>
      </c>
    </row>
    <row r="8" spans="1:10" x14ac:dyDescent="0.2">
      <c r="C8" s="1">
        <v>0.9</v>
      </c>
    </row>
    <row r="10" spans="1:10" x14ac:dyDescent="0.2">
      <c r="A10" s="5" t="s">
        <v>4</v>
      </c>
      <c r="B10" s="5"/>
      <c r="G10" s="5" t="s">
        <v>8</v>
      </c>
      <c r="H10" s="5"/>
    </row>
    <row r="11" spans="1:10" x14ac:dyDescent="0.2">
      <c r="A11" s="3" t="s">
        <v>5</v>
      </c>
      <c r="B11" s="4">
        <v>0.04</v>
      </c>
      <c r="G11" s="3" t="s">
        <v>5</v>
      </c>
      <c r="H11" s="4">
        <v>0.04</v>
      </c>
    </row>
    <row r="12" spans="1:10" x14ac:dyDescent="0.2">
      <c r="A12" s="3" t="s">
        <v>6</v>
      </c>
      <c r="B12" s="4">
        <v>1</v>
      </c>
      <c r="G12" s="2" t="s">
        <v>12</v>
      </c>
      <c r="H12" s="2">
        <f>EXP(-H11)</f>
        <v>0.96078943915232318</v>
      </c>
    </row>
    <row r="13" spans="1:10" x14ac:dyDescent="0.2">
      <c r="A13" s="2" t="s">
        <v>7</v>
      </c>
      <c r="B13" s="2">
        <f>1/(1+B11/B12)</f>
        <v>0.96153846153846145</v>
      </c>
    </row>
    <row r="16" spans="1:10" x14ac:dyDescent="0.2">
      <c r="A16" s="5" t="s">
        <v>15</v>
      </c>
      <c r="B16" s="5" t="s">
        <v>14</v>
      </c>
      <c r="C16" s="5" t="s">
        <v>13</v>
      </c>
      <c r="D16" s="5" t="s">
        <v>16</v>
      </c>
      <c r="G16" s="5" t="s">
        <v>15</v>
      </c>
      <c r="H16" s="5" t="s">
        <v>14</v>
      </c>
      <c r="I16" s="5" t="s">
        <v>13</v>
      </c>
      <c r="J16" s="5" t="s">
        <v>16</v>
      </c>
    </row>
    <row r="17" spans="1:10" x14ac:dyDescent="0.2">
      <c r="A17" s="2"/>
      <c r="B17" s="2">
        <f>C6/B7</f>
        <v>1.2</v>
      </c>
      <c r="C17" s="2">
        <f>C8/B7</f>
        <v>0.9</v>
      </c>
      <c r="D17" s="2">
        <f>1/B13^C4</f>
        <v>1.04</v>
      </c>
      <c r="G17" s="2"/>
      <c r="H17" s="2">
        <f>C6/B7</f>
        <v>1.2</v>
      </c>
      <c r="I17" s="2">
        <f>C8/B7</f>
        <v>0.9</v>
      </c>
      <c r="J17" s="2">
        <f>1/H12^C4</f>
        <v>1.0408107741923882</v>
      </c>
    </row>
    <row r="18" spans="1:10" x14ac:dyDescent="0.2">
      <c r="A18" s="5" t="s">
        <v>17</v>
      </c>
      <c r="B18" t="str">
        <f>IF(AND( D17&gt;C17,B17&gt;D17),"ikke arbitrage","arbitrage")</f>
        <v>ikke arbitrage</v>
      </c>
      <c r="G18" s="5" t="s">
        <v>17</v>
      </c>
      <c r="H18" t="str">
        <f>IF(AND( J17&gt;I17,H17&gt;J17),"ikke arbitrage","arbitrage")</f>
        <v>ikke arbitrage</v>
      </c>
    </row>
    <row r="20" spans="1:10" x14ac:dyDescent="0.2">
      <c r="A20" t="s">
        <v>18</v>
      </c>
      <c r="B20" t="s">
        <v>19</v>
      </c>
      <c r="C20" t="s">
        <v>20</v>
      </c>
      <c r="G20" t="s">
        <v>18</v>
      </c>
      <c r="H20" t="s">
        <v>19</v>
      </c>
      <c r="I20" t="s">
        <v>20</v>
      </c>
    </row>
    <row r="21" spans="1:10" x14ac:dyDescent="0.2">
      <c r="B21">
        <f>(1/B13^C4-C17)/(B17-C17)</f>
        <v>0.46666666666666684</v>
      </c>
      <c r="C21">
        <f>1-B21</f>
        <v>0.53333333333333321</v>
      </c>
      <c r="H21">
        <f>(1/H12^C4-I17)/(H17-I17)</f>
        <v>0.46936924730796076</v>
      </c>
      <c r="I21">
        <f>1-H21</f>
        <v>0.5306307526920393</v>
      </c>
    </row>
    <row r="23" spans="1:10" x14ac:dyDescent="0.2">
      <c r="A23" t="s">
        <v>27</v>
      </c>
    </row>
    <row r="25" spans="1:10" x14ac:dyDescent="0.2">
      <c r="A25" s="10" t="s">
        <v>21</v>
      </c>
      <c r="B25" s="10"/>
      <c r="C25" s="10"/>
      <c r="G25" s="10" t="s">
        <v>21</v>
      </c>
      <c r="H25" s="10"/>
      <c r="I25" s="10"/>
    </row>
    <row r="26" spans="1:10" x14ac:dyDescent="0.2">
      <c r="A26" s="6" t="s">
        <v>23</v>
      </c>
      <c r="B26" s="4">
        <v>1</v>
      </c>
      <c r="G26" s="6" t="s">
        <v>23</v>
      </c>
      <c r="H26" s="4">
        <v>1</v>
      </c>
    </row>
    <row r="27" spans="1:10" x14ac:dyDescent="0.2">
      <c r="A27" s="5" t="s">
        <v>24</v>
      </c>
      <c r="B27" s="5"/>
      <c r="C27" s="5"/>
      <c r="G27" s="5" t="s">
        <v>24</v>
      </c>
      <c r="H27" s="5"/>
      <c r="I27" s="5"/>
    </row>
    <row r="28" spans="1:10" x14ac:dyDescent="0.2">
      <c r="A28" s="2"/>
      <c r="B28" s="9"/>
      <c r="C28" s="9">
        <f>MAX(C6-$B$26,0)</f>
        <v>0.19999999999999996</v>
      </c>
      <c r="G28" s="2"/>
      <c r="H28" s="9"/>
      <c r="I28" s="9">
        <f>MAX(C6-$B$26,0)</f>
        <v>0.19999999999999996</v>
      </c>
    </row>
    <row r="29" spans="1:10" x14ac:dyDescent="0.2">
      <c r="A29" s="2" t="s">
        <v>25</v>
      </c>
      <c r="B29" s="9">
        <f>B13^C4*(B21*C28+C21*C30)</f>
        <v>8.9743589743589758E-2</v>
      </c>
      <c r="C29" s="9"/>
      <c r="G29" s="2" t="s">
        <v>25</v>
      </c>
      <c r="H29" s="9">
        <f>H12^C4*(H21*I28+I21*I30)</f>
        <v>9.0193003175272721E-2</v>
      </c>
      <c r="I29" s="9"/>
    </row>
    <row r="30" spans="1:10" x14ac:dyDescent="0.2">
      <c r="A30" s="2"/>
      <c r="B30" s="9"/>
      <c r="C30" s="9">
        <f t="shared" ref="C30" si="0">MAX(C8-$B$26,0)</f>
        <v>0</v>
      </c>
      <c r="G30" s="2"/>
      <c r="H30" s="9"/>
      <c r="I30" s="9">
        <f t="shared" ref="I30" si="1">MAX(I8-$B$26,0)</f>
        <v>0</v>
      </c>
    </row>
    <row r="31" spans="1:10" x14ac:dyDescent="0.2">
      <c r="A31" s="11" t="s">
        <v>53</v>
      </c>
      <c r="B31" s="11"/>
      <c r="C31" s="11"/>
      <c r="G31" s="11" t="s">
        <v>53</v>
      </c>
      <c r="H31" s="11"/>
      <c r="I31" s="11"/>
    </row>
    <row r="32" spans="1:10" x14ac:dyDescent="0.2">
      <c r="A32" s="2" t="s">
        <v>49</v>
      </c>
      <c r="B32" s="5" t="s">
        <v>54</v>
      </c>
      <c r="C32" s="5" t="s">
        <v>55</v>
      </c>
      <c r="G32" s="2" t="s">
        <v>49</v>
      </c>
      <c r="H32" s="5" t="s">
        <v>54</v>
      </c>
      <c r="I32" s="5" t="s">
        <v>55</v>
      </c>
    </row>
    <row r="33" spans="1:9" x14ac:dyDescent="0.2">
      <c r="A33" t="s">
        <v>46</v>
      </c>
      <c r="B33">
        <f>(C28-C30)/($C$6-$C$8)</f>
        <v>0.66666666666666663</v>
      </c>
      <c r="C33">
        <f>(C30*B$17-C$17*C28)/(B$17-C$17)*$B$13^$C$4</f>
        <v>-0.57692307692307687</v>
      </c>
      <c r="G33" t="s">
        <v>46</v>
      </c>
      <c r="H33">
        <f>(I28-I30)/($C$6-$C$8)</f>
        <v>0.66666666666666663</v>
      </c>
      <c r="I33">
        <f>(I30*H$17-I$17*I28)/(H$17-I$17)*$H$12^$C$4</f>
        <v>-0.57647366349139384</v>
      </c>
    </row>
    <row r="35" spans="1:9" x14ac:dyDescent="0.2">
      <c r="A35" s="10" t="s">
        <v>22</v>
      </c>
      <c r="B35" s="10"/>
      <c r="C35" s="10"/>
      <c r="G35" s="10" t="s">
        <v>22</v>
      </c>
      <c r="H35" s="10"/>
      <c r="I35" s="10"/>
    </row>
    <row r="36" spans="1:9" x14ac:dyDescent="0.2">
      <c r="A36" s="6" t="s">
        <v>23</v>
      </c>
      <c r="B36" s="4">
        <v>1</v>
      </c>
      <c r="G36" s="6" t="s">
        <v>23</v>
      </c>
      <c r="H36" s="4">
        <v>1</v>
      </c>
    </row>
    <row r="37" spans="1:9" x14ac:dyDescent="0.2">
      <c r="A37" s="5" t="s">
        <v>24</v>
      </c>
      <c r="B37" s="5"/>
      <c r="C37" s="5"/>
      <c r="G37" s="5" t="s">
        <v>24</v>
      </c>
      <c r="H37" s="5"/>
      <c r="I37" s="5"/>
    </row>
    <row r="38" spans="1:9" x14ac:dyDescent="0.2">
      <c r="A38" s="2"/>
      <c r="B38" s="9"/>
      <c r="C38" s="9">
        <f>MAX($B$26-C6,0)</f>
        <v>0</v>
      </c>
      <c r="G38" s="2"/>
      <c r="H38" s="9"/>
      <c r="I38" s="9">
        <f>MAX($B$26-C6,0)</f>
        <v>0</v>
      </c>
    </row>
    <row r="39" spans="1:9" x14ac:dyDescent="0.2">
      <c r="A39" s="2" t="s">
        <v>26</v>
      </c>
      <c r="B39" s="9">
        <f>B13^C4*(B21*C38+C21*C40)</f>
        <v>5.1282051282051253E-2</v>
      </c>
      <c r="C39" s="9"/>
      <c r="G39" s="2" t="s">
        <v>26</v>
      </c>
      <c r="H39" s="9">
        <f>H12^C4*(H21*I38+I21*I40)</f>
        <v>5.0982442327595939E-2</v>
      </c>
      <c r="I39" s="9"/>
    </row>
    <row r="40" spans="1:9" x14ac:dyDescent="0.2">
      <c r="A40" s="2"/>
      <c r="B40" s="9"/>
      <c r="C40" s="9">
        <f t="shared" ref="C40" si="2">MAX($B$26-C8,0)</f>
        <v>9.9999999999999978E-2</v>
      </c>
      <c r="G40" s="2"/>
      <c r="H40" s="9"/>
      <c r="I40" s="9">
        <f>MAX($B$26-C8,0)</f>
        <v>9.9999999999999978E-2</v>
      </c>
    </row>
    <row r="41" spans="1:9" x14ac:dyDescent="0.2">
      <c r="A41" s="11" t="s">
        <v>53</v>
      </c>
      <c r="B41" s="11"/>
      <c r="C41" s="11"/>
      <c r="G41" s="11" t="s">
        <v>53</v>
      </c>
      <c r="H41" s="11"/>
      <c r="I41" s="11"/>
    </row>
    <row r="42" spans="1:9" x14ac:dyDescent="0.2">
      <c r="A42" s="2" t="s">
        <v>49</v>
      </c>
      <c r="B42" s="5" t="s">
        <v>54</v>
      </c>
      <c r="C42" s="5" t="s">
        <v>55</v>
      </c>
      <c r="G42" s="2" t="s">
        <v>49</v>
      </c>
      <c r="H42" s="5" t="s">
        <v>54</v>
      </c>
      <c r="I42" s="5" t="s">
        <v>55</v>
      </c>
    </row>
    <row r="43" spans="1:9" x14ac:dyDescent="0.2">
      <c r="A43" t="s">
        <v>46</v>
      </c>
      <c r="B43">
        <f>(C38-C40)/($C$6-$C$8)</f>
        <v>-0.33333333333333331</v>
      </c>
      <c r="C43">
        <f>(C40*B$17-C$17*C38)/(B$17-C$17)*$B$13^$C$4</f>
        <v>0.38461538461538453</v>
      </c>
      <c r="G43" t="s">
        <v>46</v>
      </c>
      <c r="H43">
        <f>(I38-I40)/($C$6-$C$8)</f>
        <v>-0.33333333333333331</v>
      </c>
      <c r="I43">
        <f>(I40*H$17-I$17*I38)/(H$17-I$17)*$H$12^$C$4</f>
        <v>0.38431577566092923</v>
      </c>
    </row>
    <row r="45" spans="1:9" x14ac:dyDescent="0.2">
      <c r="A45" s="6" t="s">
        <v>28</v>
      </c>
      <c r="G45" s="6" t="s">
        <v>28</v>
      </c>
    </row>
    <row r="46" spans="1:9" x14ac:dyDescent="0.2">
      <c r="A46" s="5" t="s">
        <v>29</v>
      </c>
      <c r="B46" s="5" t="s">
        <v>10</v>
      </c>
      <c r="C46" s="5" t="s">
        <v>31</v>
      </c>
      <c r="G46" s="5" t="s">
        <v>29</v>
      </c>
      <c r="H46" s="5" t="s">
        <v>10</v>
      </c>
      <c r="I46" s="5" t="s">
        <v>31</v>
      </c>
    </row>
    <row r="48" spans="1:9" x14ac:dyDescent="0.2">
      <c r="A48" s="2"/>
      <c r="B48" s="2"/>
      <c r="C48" s="4">
        <v>0</v>
      </c>
      <c r="G48" s="2"/>
      <c r="H48" s="2"/>
      <c r="I48" s="4">
        <v>0</v>
      </c>
    </row>
    <row r="49" spans="1:9" x14ac:dyDescent="0.2">
      <c r="A49" s="2" t="s">
        <v>30</v>
      </c>
      <c r="B49" s="2">
        <f>B13^C4*(B21*C48+C21*C50)</f>
        <v>5.1282051282051266E-2</v>
      </c>
      <c r="C49" s="2"/>
      <c r="G49" s="2" t="s">
        <v>30</v>
      </c>
      <c r="H49" s="2">
        <f>H12^C4*(H21*I48+I21*I50)</f>
        <v>5.0982442327595953E-2</v>
      </c>
      <c r="I49" s="2"/>
    </row>
    <row r="50" spans="1:9" x14ac:dyDescent="0.2">
      <c r="A50" s="2"/>
      <c r="B50" s="2"/>
      <c r="C50" s="4">
        <v>0.1</v>
      </c>
      <c r="G50" s="2"/>
      <c r="H50" s="2"/>
      <c r="I50" s="4">
        <v>0.1</v>
      </c>
    </row>
    <row r="51" spans="1:9" x14ac:dyDescent="0.2">
      <c r="A51" s="11" t="s">
        <v>53</v>
      </c>
      <c r="B51" s="11"/>
      <c r="C51" s="11"/>
      <c r="G51" s="11" t="s">
        <v>53</v>
      </c>
      <c r="H51" s="11"/>
      <c r="I51" s="11"/>
    </row>
    <row r="52" spans="1:9" x14ac:dyDescent="0.2">
      <c r="A52" s="2" t="s">
        <v>49</v>
      </c>
      <c r="B52" s="5" t="s">
        <v>54</v>
      </c>
      <c r="C52" s="5" t="s">
        <v>55</v>
      </c>
      <c r="G52" s="2" t="s">
        <v>49</v>
      </c>
      <c r="H52" s="5" t="s">
        <v>54</v>
      </c>
      <c r="I52" s="5" t="s">
        <v>55</v>
      </c>
    </row>
    <row r="53" spans="1:9" x14ac:dyDescent="0.2">
      <c r="A53" t="s">
        <v>46</v>
      </c>
      <c r="B53">
        <f>(C48-C50)/($C$6-$C$8)</f>
        <v>-0.33333333333333343</v>
      </c>
      <c r="C53">
        <f>(C50*B$17-C$17*C48)/(B$17-C$17)*$B$13^$C$4</f>
        <v>0.38461538461538464</v>
      </c>
      <c r="G53" t="s">
        <v>46</v>
      </c>
      <c r="H53">
        <f>(I48-I50)/($C$6-$C$8)</f>
        <v>-0.33333333333333343</v>
      </c>
      <c r="I53">
        <f>(I50*H$17-I$17*I48)/(H$17-I$17)*$H$12^$C$4</f>
        <v>0.38431577566092934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4722-16F5-084D-B4E7-B43B65C92A97}">
  <dimension ref="A1:AE216"/>
  <sheetViews>
    <sheetView tabSelected="1" topLeftCell="A51" workbookViewId="0">
      <selection activeCell="Q83" sqref="Q83"/>
    </sheetView>
  </sheetViews>
  <sheetFormatPr baseColWidth="10" defaultRowHeight="16" x14ac:dyDescent="0.2"/>
  <cols>
    <col min="1" max="1" width="44.1640625" bestFit="1" customWidth="1"/>
    <col min="2" max="2" width="12.1640625" bestFit="1" customWidth="1"/>
    <col min="3" max="3" width="12.83203125" bestFit="1" customWidth="1"/>
    <col min="15" max="15" width="12.83203125" bestFit="1" customWidth="1"/>
  </cols>
  <sheetData>
    <row r="1" spans="1:31" x14ac:dyDescent="0.2">
      <c r="A1" s="12" t="s">
        <v>32</v>
      </c>
      <c r="B1" s="12" t="s">
        <v>56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3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 t="s">
        <v>197</v>
      </c>
      <c r="P2" s="12"/>
      <c r="Q2" s="12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2">
      <c r="A3" s="12" t="s">
        <v>3</v>
      </c>
      <c r="B3" s="13" t="s">
        <v>33</v>
      </c>
      <c r="C3" s="13" t="s">
        <v>34</v>
      </c>
      <c r="D3" s="13" t="s">
        <v>35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 t="s">
        <v>198</v>
      </c>
      <c r="P3" s="12">
        <v>244.5</v>
      </c>
      <c r="Q3" s="12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2">
      <c r="A4" s="12" t="s">
        <v>37</v>
      </c>
      <c r="B4" s="14">
        <v>0</v>
      </c>
      <c r="C4" s="14">
        <v>1</v>
      </c>
      <c r="D4" s="14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2">
      <c r="A5" s="12"/>
      <c r="B5" s="12"/>
      <c r="C5" s="12"/>
      <c r="D5" s="14">
        <v>225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>
        <f t="shared" ref="Q5" si="0">D5-$P$3</f>
        <v>-19.5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2">
      <c r="A6" s="12"/>
      <c r="B6" s="12"/>
      <c r="C6" s="14">
        <v>150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>
        <f t="shared" ref="P6:P8" si="1">C6-$P$3</f>
        <v>-94.5</v>
      </c>
      <c r="Q6" s="12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2">
      <c r="A7" s="12" t="s">
        <v>36</v>
      </c>
      <c r="B7" s="14">
        <v>100</v>
      </c>
      <c r="C7" s="12"/>
      <c r="D7" s="14">
        <v>97.5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>
        <f t="shared" ref="O7" si="2">B7-$P$3</f>
        <v>-144.5</v>
      </c>
      <c r="P7" s="12"/>
      <c r="Q7" s="12">
        <f t="shared" ref="Q7:Q9" si="3">D7-$P$3</f>
        <v>-147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2">
      <c r="A8" s="12"/>
      <c r="B8" s="12"/>
      <c r="C8" s="14">
        <v>65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>
        <f t="shared" si="1"/>
        <v>-179.5</v>
      </c>
      <c r="Q8" s="12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2">
      <c r="A9" s="12"/>
      <c r="B9" s="12"/>
      <c r="C9" s="12"/>
      <c r="D9" s="14">
        <v>42.25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>
        <f t="shared" si="3"/>
        <v>-202.25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2">
      <c r="A12" s="12" t="s">
        <v>38</v>
      </c>
      <c r="B12" s="12"/>
      <c r="C12" s="12"/>
      <c r="D12" s="12"/>
      <c r="E12" s="12"/>
      <c r="F12" s="12"/>
      <c r="G12" s="12" t="s">
        <v>41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2">
      <c r="A13" s="12" t="s">
        <v>39</v>
      </c>
      <c r="B13" s="12">
        <v>0.05</v>
      </c>
      <c r="C13" s="12"/>
      <c r="D13" s="12"/>
      <c r="E13" s="12"/>
      <c r="F13" s="12"/>
      <c r="G13" s="12" t="s">
        <v>39</v>
      </c>
      <c r="H13" s="12">
        <v>3.5000000000000003E-2</v>
      </c>
      <c r="I13" s="12"/>
      <c r="J13" s="12"/>
      <c r="K13" s="12"/>
      <c r="L13" s="12"/>
      <c r="M13" s="12"/>
      <c r="N13" s="12"/>
      <c r="O13" s="12"/>
      <c r="P13" s="12"/>
      <c r="Q13" s="12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2">
      <c r="A14" s="12" t="s">
        <v>40</v>
      </c>
      <c r="B14" s="12">
        <v>0.05</v>
      </c>
      <c r="C14" s="12"/>
      <c r="D14" s="12"/>
      <c r="E14" s="12"/>
      <c r="F14" s="12"/>
      <c r="G14" s="12" t="s">
        <v>40</v>
      </c>
      <c r="H14" s="12">
        <v>3.5000000000000003E-2</v>
      </c>
      <c r="I14" s="12"/>
      <c r="J14" s="12"/>
      <c r="K14" s="12"/>
      <c r="L14" s="12"/>
      <c r="M14" s="12"/>
      <c r="N14" s="12"/>
      <c r="O14" s="12"/>
      <c r="P14" s="12"/>
      <c r="Q14" s="12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2">
      <c r="A15" s="12" t="s">
        <v>6</v>
      </c>
      <c r="B15" s="12">
        <v>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2">
      <c r="A17" s="12" t="s">
        <v>42</v>
      </c>
      <c r="B17" s="12">
        <f>1/(1+B13/B15)^C4</f>
        <v>0.95238095238095233</v>
      </c>
      <c r="C17" s="12"/>
      <c r="D17" s="12"/>
      <c r="E17" s="12"/>
      <c r="F17" s="12"/>
      <c r="G17" s="12" t="s">
        <v>42</v>
      </c>
      <c r="H17" s="12">
        <f>EXP(-H13*C4)</f>
        <v>0.96560541625756646</v>
      </c>
      <c r="I17" s="12"/>
      <c r="J17" s="12"/>
      <c r="K17" s="12"/>
      <c r="L17" s="12"/>
      <c r="M17" s="12"/>
      <c r="N17" s="12"/>
      <c r="O17" s="12"/>
      <c r="P17" s="12"/>
      <c r="Q17" s="12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2">
      <c r="A18" s="12" t="s">
        <v>44</v>
      </c>
      <c r="B18" s="12">
        <f>1/(1+B14/B15)^D4</f>
        <v>0.90702947845804982</v>
      </c>
      <c r="C18" s="12"/>
      <c r="D18" s="12"/>
      <c r="E18" s="12"/>
      <c r="F18" s="12"/>
      <c r="G18" s="12" t="s">
        <v>44</v>
      </c>
      <c r="H18" s="12">
        <f>EXP(-D4*H14)</f>
        <v>0.93239381990594827</v>
      </c>
      <c r="I18" s="12"/>
      <c r="J18" s="12"/>
      <c r="K18" s="12"/>
      <c r="L18" s="12"/>
      <c r="M18" s="12"/>
      <c r="N18" s="12"/>
      <c r="O18" s="12"/>
      <c r="P18" s="12"/>
      <c r="Q18" s="12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2">
      <c r="A19" s="12" t="s">
        <v>43</v>
      </c>
      <c r="B19" s="12">
        <f>B18/B17</f>
        <v>0.95238095238095233</v>
      </c>
      <c r="C19" s="12"/>
      <c r="D19" s="12"/>
      <c r="E19" s="12"/>
      <c r="F19" s="12"/>
      <c r="G19" s="12" t="s">
        <v>43</v>
      </c>
      <c r="H19" s="12">
        <f>H18/H17</f>
        <v>0.96560541625756657</v>
      </c>
      <c r="I19" s="12"/>
      <c r="J19" s="12"/>
      <c r="K19" s="12"/>
      <c r="L19" s="12"/>
      <c r="M19" s="12"/>
      <c r="N19" s="12"/>
      <c r="O19" s="12"/>
      <c r="P19" s="12"/>
      <c r="Q19" s="12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2">
      <c r="A22" s="12" t="s">
        <v>45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2">
      <c r="A25" s="12" t="s">
        <v>49</v>
      </c>
      <c r="B25" s="12" t="s">
        <v>14</v>
      </c>
      <c r="C25" s="12" t="s">
        <v>13</v>
      </c>
      <c r="D25" s="12" t="s">
        <v>47</v>
      </c>
      <c r="E25" s="12" t="s">
        <v>48</v>
      </c>
      <c r="F25" s="12"/>
      <c r="G25" s="12" t="s">
        <v>49</v>
      </c>
      <c r="H25" s="12" t="s">
        <v>14</v>
      </c>
      <c r="I25" s="12" t="s">
        <v>13</v>
      </c>
      <c r="J25" s="12" t="s">
        <v>47</v>
      </c>
      <c r="K25" s="12" t="s">
        <v>48</v>
      </c>
      <c r="L25" s="12"/>
      <c r="M25" s="12"/>
      <c r="N25" s="12"/>
      <c r="O25" s="12"/>
      <c r="P25" s="12"/>
      <c r="Q25" s="12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2">
      <c r="A26" s="12" t="s">
        <v>46</v>
      </c>
      <c r="B26" s="12">
        <f>C6/B7</f>
        <v>1.5</v>
      </c>
      <c r="C26" s="12">
        <f>C8/B7</f>
        <v>0.65</v>
      </c>
      <c r="D26" s="12">
        <f>1/B17</f>
        <v>1.05</v>
      </c>
      <c r="E26" s="12" t="str">
        <f>IF(AND(B26&gt;D26,D26&gt;C26),"ingen arbitrage","arbitrage")</f>
        <v>ingen arbitrage</v>
      </c>
      <c r="F26" s="12"/>
      <c r="G26" s="12" t="s">
        <v>46</v>
      </c>
      <c r="H26" s="12">
        <f>C6/B7</f>
        <v>1.5</v>
      </c>
      <c r="I26" s="12">
        <f>C8/B7</f>
        <v>0.65</v>
      </c>
      <c r="J26" s="12">
        <f>1/H17</f>
        <v>1.0356197087996233</v>
      </c>
      <c r="K26" s="12" t="str">
        <f>IF(AND(H26&gt;J26,J26&gt;I26),"ingen arbitrage","arbitrage")</f>
        <v>ingen arbitrage</v>
      </c>
      <c r="L26" s="12"/>
      <c r="M26" s="12"/>
      <c r="N26" s="12"/>
      <c r="O26" s="12"/>
      <c r="P26" s="12"/>
      <c r="Q26" s="12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2">
      <c r="A27" s="12" t="s">
        <v>50</v>
      </c>
      <c r="B27" s="12">
        <f>D5/C6</f>
        <v>1.5</v>
      </c>
      <c r="C27" s="12">
        <f>D7/C6</f>
        <v>0.65</v>
      </c>
      <c r="D27" s="12">
        <f>1/B19</f>
        <v>1.05</v>
      </c>
      <c r="E27" s="12" t="str">
        <f>IF(AND(B27&gt;D27,D27&gt;C27),"ingen arbitrage","arbitrage")</f>
        <v>ingen arbitrage</v>
      </c>
      <c r="F27" s="12"/>
      <c r="G27" s="12" t="s">
        <v>50</v>
      </c>
      <c r="H27" s="12">
        <f>D5/C6</f>
        <v>1.5</v>
      </c>
      <c r="I27" s="12">
        <f>D7/C6</f>
        <v>0.65</v>
      </c>
      <c r="J27" s="12">
        <f>1/H19</f>
        <v>1.0356197087996231</v>
      </c>
      <c r="K27" s="12" t="str">
        <f>IF(AND(H27&gt;J27,J27&gt;I27),"ingen arbitrage","arbitrage")</f>
        <v>ingen arbitrage</v>
      </c>
      <c r="L27" s="12"/>
      <c r="M27" s="12"/>
      <c r="N27" s="12"/>
      <c r="O27" s="12"/>
      <c r="P27" s="12"/>
      <c r="Q27" s="12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2">
      <c r="A28" s="12" t="s">
        <v>51</v>
      </c>
      <c r="B28" s="12">
        <f>D7/C8</f>
        <v>1.5</v>
      </c>
      <c r="C28" s="12">
        <f>D9/C8</f>
        <v>0.65</v>
      </c>
      <c r="D28" s="12">
        <f>1/B19</f>
        <v>1.05</v>
      </c>
      <c r="E28" s="12" t="str">
        <f>IF(AND(B28&gt;D28,D28&gt;C28),"ingen arbitrage","arbitrage")</f>
        <v>ingen arbitrage</v>
      </c>
      <c r="F28" s="12"/>
      <c r="G28" s="12" t="s">
        <v>51</v>
      </c>
      <c r="H28" s="12">
        <f>D7/C8</f>
        <v>1.5</v>
      </c>
      <c r="I28" s="12">
        <f>D9/C8</f>
        <v>0.65</v>
      </c>
      <c r="J28" s="12">
        <f>1/H19</f>
        <v>1.0356197087996231</v>
      </c>
      <c r="K28" s="12" t="str">
        <f>IF(AND(H28&gt;J28,J28&gt;I28),"ingen arbitrage","arbitrage")</f>
        <v>ingen arbitrage</v>
      </c>
      <c r="L28" s="12"/>
      <c r="M28" s="12"/>
      <c r="N28" s="12"/>
      <c r="O28" s="12"/>
      <c r="P28" s="12"/>
      <c r="Q28" s="12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x14ac:dyDescent="0.2">
      <c r="A30" s="12" t="s">
        <v>52</v>
      </c>
      <c r="B30" s="12"/>
      <c r="C30" s="12"/>
      <c r="D30" s="12"/>
      <c r="E30" s="12" t="str">
        <f>IF(OR(E26="arbitrage",E27="arbitrage",E28="arbitrage"),"Arbitrage","modellen er arbitragefri")</f>
        <v>modellen er arbitragefri</v>
      </c>
      <c r="F30" s="12"/>
      <c r="G30" s="12"/>
      <c r="H30" s="12"/>
      <c r="I30" s="12"/>
      <c r="J30" s="12"/>
      <c r="K30" s="12" t="str">
        <f>IF(OR(K26="arbitrage",K27="arbitrage",K28="arbitrage"),"Arbitrage","modellen er arbitragefri")</f>
        <v>modellen er arbitragefri</v>
      </c>
      <c r="L30" s="12"/>
      <c r="M30" s="12"/>
      <c r="N30" s="12"/>
      <c r="O30" s="12"/>
      <c r="P30" s="12"/>
      <c r="Q30" s="12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x14ac:dyDescent="0.2">
      <c r="A32" s="12" t="s">
        <v>18</v>
      </c>
      <c r="B32" s="12" t="s">
        <v>19</v>
      </c>
      <c r="C32" s="12" t="s">
        <v>20</v>
      </c>
      <c r="D32" s="12"/>
      <c r="E32" s="12"/>
      <c r="F32" s="12"/>
      <c r="G32" s="12" t="s">
        <v>18</v>
      </c>
      <c r="H32" s="12" t="s">
        <v>19</v>
      </c>
      <c r="I32" s="12" t="s">
        <v>20</v>
      </c>
      <c r="J32" s="12"/>
      <c r="K32" s="12"/>
      <c r="L32" s="12"/>
      <c r="M32" s="12"/>
      <c r="N32" s="12"/>
      <c r="O32" s="12"/>
      <c r="P32" s="12"/>
      <c r="Q32" s="12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x14ac:dyDescent="0.2">
      <c r="A33" s="12" t="s">
        <v>46</v>
      </c>
      <c r="B33" s="12">
        <f>(D26-C26)/(B26-C26)</f>
        <v>0.4705882352941177</v>
      </c>
      <c r="C33" s="12">
        <f>1-B33</f>
        <v>0.52941176470588225</v>
      </c>
      <c r="D33" s="12"/>
      <c r="E33" s="12"/>
      <c r="F33" s="12"/>
      <c r="G33" s="12" t="s">
        <v>46</v>
      </c>
      <c r="H33" s="12">
        <f>(J26-I26)/(H26-I26)</f>
        <v>0.45367024564661562</v>
      </c>
      <c r="I33" s="12">
        <f>1-H33</f>
        <v>0.54632975435338438</v>
      </c>
      <c r="J33" s="12"/>
      <c r="K33" s="12"/>
      <c r="L33" s="12"/>
      <c r="M33" s="12"/>
      <c r="N33" s="12"/>
      <c r="O33" s="12"/>
      <c r="P33" s="12"/>
      <c r="Q33" s="12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x14ac:dyDescent="0.2">
      <c r="A34" s="12" t="s">
        <v>50</v>
      </c>
      <c r="B34" s="12">
        <f>(D27-C27)/(B27-C27)</f>
        <v>0.4705882352941177</v>
      </c>
      <c r="C34" s="12">
        <f t="shared" ref="C34:C35" si="4">1-B34</f>
        <v>0.52941176470588225</v>
      </c>
      <c r="D34" s="12"/>
      <c r="E34" s="12"/>
      <c r="F34" s="12"/>
      <c r="G34" s="12" t="s">
        <v>50</v>
      </c>
      <c r="H34" s="12">
        <f t="shared" ref="H34:H35" si="5">(J27-I27)/(H27-I27)</f>
        <v>0.45367024564661534</v>
      </c>
      <c r="I34" s="12">
        <f t="shared" ref="I34:I35" si="6">1-H34</f>
        <v>0.54632975435338471</v>
      </c>
      <c r="J34" s="12"/>
      <c r="K34" s="12"/>
      <c r="L34" s="12"/>
      <c r="M34" s="12"/>
      <c r="N34" s="12"/>
      <c r="O34" s="12"/>
      <c r="P34" s="12"/>
      <c r="Q34" s="12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x14ac:dyDescent="0.2">
      <c r="A35" s="12" t="s">
        <v>51</v>
      </c>
      <c r="B35" s="12">
        <f t="shared" ref="B35" si="7">(D28-C28)/(B28-C28)</f>
        <v>0.4705882352941177</v>
      </c>
      <c r="C35" s="12">
        <f t="shared" si="4"/>
        <v>0.52941176470588225</v>
      </c>
      <c r="D35" s="12"/>
      <c r="E35" s="12"/>
      <c r="F35" s="12"/>
      <c r="G35" s="12" t="s">
        <v>51</v>
      </c>
      <c r="H35" s="12">
        <f t="shared" si="5"/>
        <v>0.45367024564661534</v>
      </c>
      <c r="I35" s="12">
        <f t="shared" si="6"/>
        <v>0.54632975435338471</v>
      </c>
      <c r="J35" s="12"/>
      <c r="K35" s="12"/>
      <c r="L35" s="12"/>
      <c r="M35" s="12"/>
      <c r="N35" s="12"/>
      <c r="O35" s="12"/>
      <c r="P35" s="12"/>
      <c r="Q35" s="12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x14ac:dyDescent="0.2">
      <c r="A39" s="12" t="s">
        <v>27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x14ac:dyDescent="0.2">
      <c r="A41" s="15" t="s">
        <v>21</v>
      </c>
      <c r="B41" s="15"/>
      <c r="C41" s="15"/>
      <c r="D41" s="12"/>
      <c r="E41" s="12"/>
      <c r="F41" s="12"/>
      <c r="G41" s="15" t="s">
        <v>21</v>
      </c>
      <c r="H41" s="15"/>
      <c r="I41" s="15"/>
      <c r="J41" s="12"/>
      <c r="K41" s="12"/>
      <c r="L41" s="12"/>
      <c r="M41" s="12"/>
      <c r="N41" s="15" t="s">
        <v>102</v>
      </c>
      <c r="O41" s="15"/>
      <c r="P41" s="15"/>
      <c r="Q41" s="15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x14ac:dyDescent="0.2">
      <c r="A42" s="13" t="s">
        <v>23</v>
      </c>
      <c r="B42" s="14">
        <v>85</v>
      </c>
      <c r="C42" s="12"/>
      <c r="D42" s="12"/>
      <c r="E42" s="12"/>
      <c r="F42" s="12"/>
      <c r="G42" s="13" t="s">
        <v>23</v>
      </c>
      <c r="H42" s="14">
        <v>250</v>
      </c>
      <c r="I42" s="12"/>
      <c r="J42" s="12"/>
      <c r="K42" s="12"/>
      <c r="L42" s="12"/>
      <c r="M42" s="12"/>
      <c r="O42" s="12"/>
      <c r="P42" s="12"/>
      <c r="Q42" s="12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x14ac:dyDescent="0.2">
      <c r="A43" s="16" t="s">
        <v>24</v>
      </c>
      <c r="B43" s="16"/>
      <c r="C43" s="16"/>
      <c r="D43" s="12"/>
      <c r="E43" s="12"/>
      <c r="F43" s="12"/>
      <c r="G43" s="16" t="s">
        <v>24</v>
      </c>
      <c r="H43" s="16"/>
      <c r="I43" s="16"/>
      <c r="J43" s="12"/>
      <c r="K43" s="12"/>
      <c r="L43" s="12"/>
      <c r="M43" s="12"/>
      <c r="N43" s="16" t="s">
        <v>101</v>
      </c>
      <c r="O43" s="16"/>
      <c r="P43" s="16"/>
      <c r="Q43" s="16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x14ac:dyDescent="0.2">
      <c r="A44" s="17"/>
      <c r="B44" s="17"/>
      <c r="C44" s="17"/>
      <c r="D44" s="17">
        <f>MAX($D$5-$B$42,0)</f>
        <v>140</v>
      </c>
      <c r="E44" s="12"/>
      <c r="F44" s="12"/>
      <c r="G44" s="17"/>
      <c r="H44" s="17"/>
      <c r="I44" s="17"/>
      <c r="J44" s="17">
        <f>MAX($D$5-$H$42,0)</f>
        <v>0</v>
      </c>
      <c r="K44" s="12"/>
      <c r="L44" s="12"/>
      <c r="M44" s="12"/>
      <c r="N44" s="17"/>
      <c r="O44" s="17"/>
      <c r="P44" s="17"/>
      <c r="Q44" s="17">
        <f>D5</f>
        <v>225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x14ac:dyDescent="0.2">
      <c r="A45" s="17"/>
      <c r="B45" s="17"/>
      <c r="C45" s="17">
        <f>$B$19*($B$34*D44+$C$34*D46)</f>
        <v>69.047619047619037</v>
      </c>
      <c r="D45" s="17"/>
      <c r="E45" s="12"/>
      <c r="F45" s="12"/>
      <c r="G45" s="17"/>
      <c r="H45" s="17"/>
      <c r="I45" s="17">
        <f>$H$19*($H$34*J44+$I$34*J46)</f>
        <v>0</v>
      </c>
      <c r="J45" s="17"/>
      <c r="K45" s="12"/>
      <c r="L45" s="12"/>
      <c r="M45" s="12"/>
      <c r="N45" s="17"/>
      <c r="O45" s="17"/>
      <c r="P45" s="17">
        <f>C6/B19</f>
        <v>157.5</v>
      </c>
      <c r="Q45" s="1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x14ac:dyDescent="0.2">
      <c r="A46" s="17" t="s">
        <v>25</v>
      </c>
      <c r="B46" s="17">
        <f>$B$17*($B$33*C45+$C$33*C47)</f>
        <v>33.770370893455414</v>
      </c>
      <c r="C46" s="17"/>
      <c r="D46" s="17">
        <f>MAX($D$7-$B$42,0)</f>
        <v>12.5</v>
      </c>
      <c r="E46" s="12"/>
      <c r="F46" s="12"/>
      <c r="G46" s="17" t="s">
        <v>25</v>
      </c>
      <c r="H46" s="17">
        <f>$H$17*($H$33*I45+$I$33*I47)</f>
        <v>0</v>
      </c>
      <c r="I46" s="17"/>
      <c r="J46" s="17">
        <f>MAX($D$7-$H$42,0)</f>
        <v>0</v>
      </c>
      <c r="K46" s="12"/>
      <c r="L46" s="12"/>
      <c r="M46" s="12"/>
      <c r="N46" s="17" t="s">
        <v>99</v>
      </c>
      <c r="O46" s="17">
        <f>B7/B18</f>
        <v>110.25000000000001</v>
      </c>
      <c r="P46" s="17"/>
      <c r="Q46" s="17">
        <f>D7</f>
        <v>97.5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x14ac:dyDescent="0.2">
      <c r="A47" s="17"/>
      <c r="B47" s="18"/>
      <c r="C47" s="17">
        <f>$B$19*($B$35*D46+$C$35*D48)</f>
        <v>5.6022408963585439</v>
      </c>
      <c r="D47" s="17"/>
      <c r="E47" s="12"/>
      <c r="F47" s="12"/>
      <c r="G47" s="17"/>
      <c r="H47" s="17"/>
      <c r="I47" s="17">
        <f>$H$19*($H$35*J46+$I$35*J48)</f>
        <v>0</v>
      </c>
      <c r="J47" s="17"/>
      <c r="K47" s="12"/>
      <c r="L47" s="12"/>
      <c r="M47" s="12"/>
      <c r="N47" s="17"/>
      <c r="O47" s="17"/>
      <c r="P47" s="17">
        <f>C8/B19</f>
        <v>68.25</v>
      </c>
      <c r="Q47" s="1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x14ac:dyDescent="0.2">
      <c r="A48" s="17"/>
      <c r="B48" s="17"/>
      <c r="C48" s="17"/>
      <c r="D48" s="17">
        <f>MAX($D$9-$B$42,0)</f>
        <v>0</v>
      </c>
      <c r="E48" s="12"/>
      <c r="F48" s="12"/>
      <c r="G48" s="17"/>
      <c r="H48" s="17"/>
      <c r="I48" s="17"/>
      <c r="J48" s="17">
        <f>MAX($D$9-$H$42,0)</f>
        <v>0</v>
      </c>
      <c r="K48" s="12"/>
      <c r="L48" s="12"/>
      <c r="M48" s="12"/>
      <c r="N48" s="17"/>
      <c r="O48" s="17"/>
      <c r="P48" s="17"/>
      <c r="Q48" s="17">
        <f>D9</f>
        <v>42.25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x14ac:dyDescent="0.2">
      <c r="A49" s="19" t="s">
        <v>53</v>
      </c>
      <c r="B49" s="19"/>
      <c r="C49" s="19"/>
      <c r="D49" s="12"/>
      <c r="E49" s="12"/>
      <c r="F49" s="12"/>
      <c r="G49" s="19" t="s">
        <v>53</v>
      </c>
      <c r="H49" s="19"/>
      <c r="I49" s="19"/>
      <c r="J49" s="12"/>
      <c r="K49" s="12"/>
      <c r="L49" s="12"/>
      <c r="M49" s="12"/>
      <c r="N49" s="12"/>
      <c r="O49" s="12"/>
      <c r="P49" s="12"/>
      <c r="Q49" s="12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x14ac:dyDescent="0.2">
      <c r="A50" s="17" t="s">
        <v>49</v>
      </c>
      <c r="B50" s="16" t="s">
        <v>54</v>
      </c>
      <c r="C50" s="16" t="s">
        <v>55</v>
      </c>
      <c r="D50" s="12"/>
      <c r="E50" s="12"/>
      <c r="F50" s="12"/>
      <c r="G50" s="17" t="s">
        <v>49</v>
      </c>
      <c r="H50" s="16" t="s">
        <v>54</v>
      </c>
      <c r="I50" s="16" t="s">
        <v>55</v>
      </c>
      <c r="J50" s="12"/>
      <c r="K50" s="12"/>
      <c r="L50" s="12"/>
      <c r="M50" s="12"/>
      <c r="N50" s="16" t="s">
        <v>95</v>
      </c>
      <c r="O50" s="16"/>
      <c r="P50" s="16"/>
      <c r="Q50" s="16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x14ac:dyDescent="0.2">
      <c r="A51" s="17" t="s">
        <v>46</v>
      </c>
      <c r="B51" s="12">
        <f>(C45-C47)/($C$6-$C$8)</f>
        <v>0.74641621354424104</v>
      </c>
      <c r="C51" s="12">
        <f>$B$17*(C47*$B$26-C45*$C$26)/($B$26-$C$26)</f>
        <v>-40.871250460968689</v>
      </c>
      <c r="D51" s="12"/>
      <c r="E51" s="12"/>
      <c r="F51" s="12"/>
      <c r="G51" s="17" t="s">
        <v>46</v>
      </c>
      <c r="H51" s="12">
        <f>(I45-I47)/($C$6-$C$8)</f>
        <v>0</v>
      </c>
      <c r="I51" s="12">
        <f>$H$17*(I47*$H$26-I45*$I$26)/($H$26-$I$26)</f>
        <v>0</v>
      </c>
      <c r="J51" s="12"/>
      <c r="K51" s="12"/>
      <c r="L51" s="12"/>
      <c r="M51" s="12"/>
      <c r="N51" s="12"/>
      <c r="O51" s="12"/>
      <c r="P51" s="12"/>
      <c r="Q51" s="12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x14ac:dyDescent="0.2">
      <c r="A52" s="17" t="s">
        <v>50</v>
      </c>
      <c r="B52" s="12">
        <f>(D44-D46)/($D$5-$D$7)</f>
        <v>1</v>
      </c>
      <c r="C52" s="12">
        <f>$B$19*(D46*$B$27-D44*$C$27)/($B$27-$C$27)</f>
        <v>-80.952380952380949</v>
      </c>
      <c r="D52" s="12"/>
      <c r="E52" s="12"/>
      <c r="F52" s="12"/>
      <c r="G52" s="17" t="s">
        <v>50</v>
      </c>
      <c r="H52" s="12">
        <f>(J44-J46)/($D$5-$D$7)</f>
        <v>0</v>
      </c>
      <c r="I52" s="12">
        <f>$H$19*(J46*$H$27-J44*$I$27)/($H$27-$I$27)</f>
        <v>0</v>
      </c>
      <c r="J52" s="12"/>
      <c r="K52" s="12"/>
      <c r="L52" s="12"/>
      <c r="M52" s="12"/>
      <c r="N52" s="17"/>
      <c r="O52" s="17"/>
      <c r="P52" s="17"/>
      <c r="Q52" s="17">
        <f>Q44-P45</f>
        <v>67.5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x14ac:dyDescent="0.2">
      <c r="A53" s="17" t="s">
        <v>51</v>
      </c>
      <c r="B53" s="12">
        <f>(D46-D48)/($D$7-$D$9)</f>
        <v>0.22624434389140272</v>
      </c>
      <c r="C53" s="12">
        <f>$B$19*(D48*$B$28-D46*$C$28)/($B$28-$C$28)</f>
        <v>-9.1036414565826327</v>
      </c>
      <c r="D53" s="12"/>
      <c r="E53" s="12"/>
      <c r="F53" s="12"/>
      <c r="G53" s="17" t="s">
        <v>51</v>
      </c>
      <c r="H53" s="12">
        <f>(J46-J48)/($D$7-$D$9)</f>
        <v>0</v>
      </c>
      <c r="I53" s="12">
        <f>$H$19*(J48*$H$28-J46*$I$28)/($H$28-$I$28)</f>
        <v>0</v>
      </c>
      <c r="J53" s="12"/>
      <c r="K53" s="12"/>
      <c r="L53" s="12"/>
      <c r="M53" s="12"/>
      <c r="N53" s="17"/>
      <c r="O53" s="17"/>
      <c r="P53" s="17">
        <f>P45-O46</f>
        <v>47.249999999999986</v>
      </c>
      <c r="Q53" s="1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7" t="s">
        <v>98</v>
      </c>
      <c r="O54" s="17">
        <v>0</v>
      </c>
      <c r="P54" s="17"/>
      <c r="Q54" s="17">
        <f>Q46-P45</f>
        <v>-60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7"/>
      <c r="O55" s="17"/>
      <c r="P55" s="17"/>
      <c r="Q55" s="17">
        <f>Q46-P47</f>
        <v>29.25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7"/>
      <c r="O56" s="17"/>
      <c r="P56" s="17">
        <f>P47-O46</f>
        <v>-42.000000000000014</v>
      </c>
      <c r="Q56" s="1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7"/>
      <c r="O57" s="17"/>
      <c r="P57" s="17"/>
      <c r="Q57" s="17">
        <f>Q48-P47</f>
        <v>-26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x14ac:dyDescent="0.2">
      <c r="A58" s="15" t="s">
        <v>22</v>
      </c>
      <c r="B58" s="15"/>
      <c r="C58" s="15"/>
      <c r="D58" s="12"/>
      <c r="E58" s="12"/>
      <c r="F58" s="12"/>
      <c r="G58" s="15" t="s">
        <v>22</v>
      </c>
      <c r="H58" s="15"/>
      <c r="I58" s="15"/>
      <c r="J58" s="12"/>
      <c r="K58" s="12"/>
      <c r="L58" s="12"/>
      <c r="M58" s="12"/>
      <c r="N58" s="12"/>
      <c r="O58" s="12"/>
      <c r="P58" s="12"/>
      <c r="Q58" s="12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x14ac:dyDescent="0.2">
      <c r="A59" s="13" t="s">
        <v>23</v>
      </c>
      <c r="B59" s="14">
        <v>85</v>
      </c>
      <c r="C59" s="12"/>
      <c r="D59" s="12"/>
      <c r="E59" s="12"/>
      <c r="F59" s="12"/>
      <c r="G59" s="13" t="s">
        <v>23</v>
      </c>
      <c r="H59" s="14">
        <v>1000</v>
      </c>
      <c r="I59" s="12"/>
      <c r="J59" s="12"/>
      <c r="K59" s="12"/>
      <c r="L59" s="12"/>
      <c r="M59" s="12"/>
      <c r="N59" s="16" t="s">
        <v>96</v>
      </c>
      <c r="O59" s="16"/>
      <c r="P59" s="16"/>
      <c r="Q59" s="16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x14ac:dyDescent="0.2">
      <c r="A60" s="16" t="s">
        <v>24</v>
      </c>
      <c r="B60" s="16"/>
      <c r="C60" s="16"/>
      <c r="D60" s="12"/>
      <c r="E60" s="12"/>
      <c r="F60" s="12"/>
      <c r="G60" s="16" t="s">
        <v>24</v>
      </c>
      <c r="H60" s="16"/>
      <c r="I60" s="16"/>
      <c r="J60" s="12"/>
      <c r="K60" s="12"/>
      <c r="L60" s="12"/>
      <c r="M60" s="12"/>
      <c r="N60" s="12" t="s">
        <v>97</v>
      </c>
      <c r="O60" s="12"/>
      <c r="P60" s="12"/>
      <c r="Q60" s="12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x14ac:dyDescent="0.2">
      <c r="A61" s="17"/>
      <c r="B61" s="17"/>
      <c r="C61" s="17"/>
      <c r="D61" s="17">
        <f>MAX(-$D$5+$B$59,0)</f>
        <v>0</v>
      </c>
      <c r="E61" s="12"/>
      <c r="F61" s="12"/>
      <c r="G61" s="17"/>
      <c r="H61" s="17"/>
      <c r="I61" s="17"/>
      <c r="J61" s="17">
        <f>MAX(-$D$5+$H$59,0)</f>
        <v>775</v>
      </c>
      <c r="K61" s="12"/>
      <c r="L61" s="12"/>
      <c r="M61" s="12"/>
      <c r="N61" s="12"/>
      <c r="O61" s="12"/>
      <c r="P61" s="12"/>
      <c r="Q61" s="12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x14ac:dyDescent="0.2">
      <c r="A62" s="17"/>
      <c r="B62" s="17"/>
      <c r="C62" s="17">
        <f>$B$19*($B$34*D61+$C$34*D63)</f>
        <v>0</v>
      </c>
      <c r="D62" s="17"/>
      <c r="E62" s="12"/>
      <c r="F62" s="12"/>
      <c r="G62" s="17"/>
      <c r="H62" s="17"/>
      <c r="I62" s="17">
        <f>$H$19*($H$34*J61+$I$34*J63)</f>
        <v>815.60541625756673</v>
      </c>
      <c r="J62" s="17"/>
      <c r="K62" s="12"/>
      <c r="L62" s="12"/>
      <c r="M62" s="12"/>
      <c r="N62" s="17"/>
      <c r="O62" s="17"/>
      <c r="P62" s="17"/>
      <c r="Q62" s="17">
        <v>0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x14ac:dyDescent="0.2">
      <c r="A63" s="17" t="s">
        <v>26</v>
      </c>
      <c r="B63" s="17">
        <f>$B$17*($B$33*C62+$C$33*C64)</f>
        <v>10.867876562389656</v>
      </c>
      <c r="C63" s="17"/>
      <c r="D63" s="17">
        <f>MAX(-$D$7+$B$59,0)</f>
        <v>0</v>
      </c>
      <c r="E63" s="12"/>
      <c r="F63" s="12"/>
      <c r="G63" s="17" t="s">
        <v>26</v>
      </c>
      <c r="H63" s="17">
        <f>$H$17*($H$33*I62+$I$33*I64)</f>
        <v>832.39381990594836</v>
      </c>
      <c r="I63" s="17"/>
      <c r="J63" s="17">
        <f>MAX(-$D$7+$H$59,0)</f>
        <v>902.5</v>
      </c>
      <c r="K63" s="12"/>
      <c r="L63" s="12"/>
      <c r="M63" s="12"/>
      <c r="N63" s="17"/>
      <c r="O63" s="17"/>
      <c r="P63" s="17">
        <f>B33*Q52+C33*Q54</f>
        <v>0</v>
      </c>
      <c r="Q63" s="1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x14ac:dyDescent="0.2">
      <c r="A64" s="17"/>
      <c r="B64" s="17"/>
      <c r="C64" s="17">
        <f>$B$19*($B$35*D63+$C$35*D65)</f>
        <v>21.55462184873949</v>
      </c>
      <c r="D64" s="17"/>
      <c r="E64" s="12"/>
      <c r="F64" s="12"/>
      <c r="G64" s="17"/>
      <c r="H64" s="17"/>
      <c r="I64" s="17">
        <f>$H$19*($H$35*J63+$I$35*J65)</f>
        <v>900.60541625756662</v>
      </c>
      <c r="J64" s="17"/>
      <c r="K64" s="12"/>
      <c r="L64" s="12"/>
      <c r="M64" s="12"/>
      <c r="N64" s="17" t="s">
        <v>100</v>
      </c>
      <c r="O64" s="17">
        <f>B33*P53+C33*P56</f>
        <v>0</v>
      </c>
      <c r="P64" s="17"/>
      <c r="Q64" s="17">
        <v>0</v>
      </c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x14ac:dyDescent="0.2">
      <c r="A65" s="17"/>
      <c r="B65" s="17"/>
      <c r="C65" s="17"/>
      <c r="D65" s="17">
        <f>MAX(-$D$9+$B$59,0)</f>
        <v>42.75</v>
      </c>
      <c r="E65" s="12"/>
      <c r="F65" s="12"/>
      <c r="G65" s="17"/>
      <c r="H65" s="17"/>
      <c r="I65" s="17"/>
      <c r="J65" s="17">
        <f>MAX(-$D$9+$H$59,0)</f>
        <v>957.75</v>
      </c>
      <c r="K65" s="12"/>
      <c r="L65" s="12"/>
      <c r="M65" s="12"/>
      <c r="N65" s="17"/>
      <c r="O65" s="17"/>
      <c r="P65" s="17">
        <f>B33*Q55+C33*Q57</f>
        <v>0</v>
      </c>
      <c r="Q65" s="1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x14ac:dyDescent="0.2">
      <c r="A66" s="19" t="s">
        <v>53</v>
      </c>
      <c r="B66" s="19"/>
      <c r="C66" s="19"/>
      <c r="D66" s="12"/>
      <c r="E66" s="12"/>
      <c r="F66" s="12"/>
      <c r="G66" s="19" t="s">
        <v>53</v>
      </c>
      <c r="H66" s="19"/>
      <c r="I66" s="19"/>
      <c r="J66" s="12"/>
      <c r="K66" s="12"/>
      <c r="L66" s="12"/>
      <c r="M66" s="12"/>
      <c r="N66" s="17"/>
      <c r="O66" s="17"/>
      <c r="P66" s="17"/>
      <c r="Q66" s="17">
        <v>0</v>
      </c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x14ac:dyDescent="0.2">
      <c r="A67" s="17" t="s">
        <v>49</v>
      </c>
      <c r="B67" s="16" t="s">
        <v>54</v>
      </c>
      <c r="C67" s="16" t="s">
        <v>55</v>
      </c>
      <c r="D67" s="12"/>
      <c r="E67" s="12"/>
      <c r="F67" s="12"/>
      <c r="G67" s="17" t="s">
        <v>49</v>
      </c>
      <c r="H67" s="16" t="s">
        <v>54</v>
      </c>
      <c r="I67" s="16" t="s">
        <v>55</v>
      </c>
      <c r="J67" s="12"/>
      <c r="K67" s="12"/>
      <c r="L67" s="12"/>
      <c r="M67" s="12"/>
      <c r="N67" s="12"/>
      <c r="O67" s="12"/>
      <c r="P67" s="12"/>
      <c r="Q67" s="12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x14ac:dyDescent="0.2">
      <c r="A68" s="17" t="s">
        <v>46</v>
      </c>
      <c r="B68" s="12">
        <f>(C62-C64)/($C$6-$C$8)</f>
        <v>-0.25358378645575869</v>
      </c>
      <c r="C68" s="12">
        <f>$B$17*(C64*$B$26-C62*$C$26)/($B$26-$C$26)</f>
        <v>36.226255207965529</v>
      </c>
      <c r="D68" s="12"/>
      <c r="E68" s="12"/>
      <c r="F68" s="12"/>
      <c r="G68" s="17" t="s">
        <v>46</v>
      </c>
      <c r="H68" s="12">
        <f>(I62-I64)/($C$6-$C$8)</f>
        <v>-0.99999999999999867</v>
      </c>
      <c r="I68" s="12">
        <f>$H$17*(I64*$H$26-I62*$I$26)/($H$26-$I$26)</f>
        <v>932.39381990594848</v>
      </c>
      <c r="J68" s="12"/>
      <c r="K68" s="12"/>
      <c r="L68" s="12"/>
      <c r="M68" s="12"/>
      <c r="N68" s="12"/>
      <c r="O68" s="12"/>
      <c r="P68" s="12"/>
      <c r="Q68" s="12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x14ac:dyDescent="0.2">
      <c r="A69" s="17" t="s">
        <v>50</v>
      </c>
      <c r="B69" s="12">
        <f>(D61-D63)/($D$5-$D$7)</f>
        <v>0</v>
      </c>
      <c r="C69" s="12">
        <f>$B$19*(D63*$B$27-D61*$C$27)/($B$27-$C$27)</f>
        <v>0</v>
      </c>
      <c r="D69" s="12"/>
      <c r="E69" s="12"/>
      <c r="F69" s="12"/>
      <c r="G69" s="17" t="s">
        <v>50</v>
      </c>
      <c r="H69" s="12">
        <f>(J61-J63)/($D$5-$D$7)</f>
        <v>-1</v>
      </c>
      <c r="I69" s="12">
        <f>$H$19*(J63*$H$27-J61*$I$27)/($H$27-$I$27)</f>
        <v>965.60541625756662</v>
      </c>
      <c r="J69" s="12"/>
      <c r="K69" s="12"/>
      <c r="L69" s="12"/>
      <c r="M69" s="12"/>
      <c r="N69" s="12"/>
      <c r="O69" s="12"/>
      <c r="P69" s="12"/>
      <c r="Q69" s="12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x14ac:dyDescent="0.2">
      <c r="A70" s="17" t="s">
        <v>51</v>
      </c>
      <c r="B70" s="12">
        <f>(D63-D65)/($D$7-$D$9)</f>
        <v>-0.77375565610859731</v>
      </c>
      <c r="C70" s="12">
        <f>$B$19*(D65*$B$28-D63*$C$28)/($B$28-$C$28)</f>
        <v>71.848739495798313</v>
      </c>
      <c r="D70" s="12"/>
      <c r="E70" s="12"/>
      <c r="F70" s="12"/>
      <c r="G70" s="17" t="s">
        <v>51</v>
      </c>
      <c r="H70" s="12">
        <f>(J63-J65)/($D$7-$D$9)</f>
        <v>-1</v>
      </c>
      <c r="I70" s="12">
        <f>$H$19*(J65*$H$28-J63*$I$28)/($H$28-$I$28)</f>
        <v>965.60541625756662</v>
      </c>
      <c r="J70" s="12"/>
      <c r="K70" s="12"/>
      <c r="L70" s="12"/>
      <c r="M70" s="12"/>
      <c r="N70" s="12"/>
      <c r="O70" s="12"/>
      <c r="P70" s="12"/>
      <c r="Q70" s="12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x14ac:dyDescent="0.2">
      <c r="A76" s="15" t="s">
        <v>57</v>
      </c>
      <c r="B76" s="15"/>
      <c r="C76" s="15"/>
      <c r="D76" s="12"/>
      <c r="E76" s="12"/>
      <c r="F76" s="12"/>
      <c r="G76" s="15" t="s">
        <v>57</v>
      </c>
      <c r="H76" s="15"/>
      <c r="I76" s="15"/>
      <c r="J76" s="12"/>
      <c r="K76" s="12"/>
      <c r="L76" s="12"/>
      <c r="M76" s="12"/>
      <c r="N76" s="12" t="s">
        <v>144</v>
      </c>
      <c r="O76" s="12"/>
      <c r="P76" s="12"/>
      <c r="Q76" s="12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x14ac:dyDescent="0.2">
      <c r="A77" s="13" t="s">
        <v>58</v>
      </c>
      <c r="B77" s="12"/>
      <c r="C77" s="12"/>
      <c r="D77" s="12"/>
      <c r="E77" s="12"/>
      <c r="F77" s="12"/>
      <c r="G77" s="13" t="s">
        <v>58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x14ac:dyDescent="0.2">
      <c r="A78" s="16" t="s">
        <v>24</v>
      </c>
      <c r="B78" s="16"/>
      <c r="C78" s="16"/>
      <c r="D78" s="12"/>
      <c r="E78" s="12"/>
      <c r="F78" s="12"/>
      <c r="G78" s="16" t="s">
        <v>24</v>
      </c>
      <c r="H78" s="16"/>
      <c r="I78" s="16"/>
      <c r="J78" s="12"/>
      <c r="K78" s="12"/>
      <c r="L78" s="12"/>
      <c r="M78" s="12"/>
      <c r="N78" s="12"/>
      <c r="O78" s="12" t="s">
        <v>10</v>
      </c>
      <c r="P78" s="12" t="s">
        <v>74</v>
      </c>
      <c r="Q78" s="12" t="s">
        <v>73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x14ac:dyDescent="0.2">
      <c r="A79" s="17"/>
      <c r="B79" s="17"/>
      <c r="C79" s="17"/>
      <c r="D79" s="14">
        <f>SQRT(D5)</f>
        <v>15</v>
      </c>
      <c r="E79" s="12"/>
      <c r="F79" s="12"/>
      <c r="G79" s="17"/>
      <c r="H79" s="17"/>
      <c r="I79" s="17"/>
      <c r="J79" s="14">
        <f>MAX($D$5-$B$42,0)</f>
        <v>140</v>
      </c>
      <c r="K79" s="12"/>
      <c r="L79" s="12"/>
      <c r="M79" s="12"/>
      <c r="N79" s="17"/>
      <c r="O79" s="17"/>
      <c r="P79" s="17"/>
      <c r="Q79" s="14">
        <v>140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x14ac:dyDescent="0.2">
      <c r="A80" s="17"/>
      <c r="B80" s="17"/>
      <c r="C80" s="17">
        <f>$B$19*($B$34*D79+$C$34*D81)</f>
        <v>11.701281762554158</v>
      </c>
      <c r="D80" s="14"/>
      <c r="E80" s="12"/>
      <c r="F80" s="12"/>
      <c r="G80" s="17"/>
      <c r="H80" s="17"/>
      <c r="I80" s="17">
        <f>$H$19*($H$34*J79+$I$34*J81)</f>
        <v>67.923539618106815</v>
      </c>
      <c r="J80" s="17"/>
      <c r="K80" s="12"/>
      <c r="L80" s="12"/>
      <c r="M80" s="12"/>
      <c r="N80" s="17"/>
      <c r="O80" s="17"/>
      <c r="P80" s="14">
        <v>0</v>
      </c>
      <c r="Q80" s="1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x14ac:dyDescent="0.2">
      <c r="A81" s="17" t="s">
        <v>30</v>
      </c>
      <c r="B81" s="17">
        <f>$B$17*($B$33*C80+$C$33*C82)</f>
        <v>9.1279996591121701</v>
      </c>
      <c r="C81" s="17"/>
      <c r="D81" s="14">
        <f t="shared" ref="D81:D83" si="8">SQRT(D7)</f>
        <v>9.8742088290657488</v>
      </c>
      <c r="E81" s="12"/>
      <c r="F81" s="12"/>
      <c r="G81" s="17" t="s">
        <v>30</v>
      </c>
      <c r="H81" s="17">
        <f>$H$17*($H$33*I80+$I$33*I82)</f>
        <v>32.643737650098871</v>
      </c>
      <c r="I81" s="17"/>
      <c r="J81" s="14">
        <f>MAX($D$7-$B$42,0)</f>
        <v>12.5</v>
      </c>
      <c r="K81" s="12"/>
      <c r="L81" s="12"/>
      <c r="M81" s="12"/>
      <c r="N81" s="17" t="s">
        <v>30</v>
      </c>
      <c r="O81" s="17">
        <f>B17*(B33*P80+C33*P82)+B18*(B33^2*Q79+B33*C33*2*Q81+C33^2*Q83)</f>
        <v>33.770370893455429</v>
      </c>
      <c r="P81" s="17"/>
      <c r="Q81" s="14">
        <v>12.5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x14ac:dyDescent="0.2">
      <c r="A82" s="17"/>
      <c r="B82" s="17"/>
      <c r="C82" s="17">
        <f>$B$19*($B$35*D81+$C$35*D83)</f>
        <v>7.7027266460798867</v>
      </c>
      <c r="D82" s="14"/>
      <c r="E82" s="12"/>
      <c r="F82" s="12"/>
      <c r="G82" s="17"/>
      <c r="H82" s="17"/>
      <c r="I82" s="17">
        <f>$H$19*($H$35*J81+$I$35*J83)</f>
        <v>5.4758305798909062</v>
      </c>
      <c r="J82" s="17"/>
      <c r="K82" s="12"/>
      <c r="L82" s="12"/>
      <c r="M82" s="12"/>
      <c r="N82" s="17"/>
      <c r="O82" s="17"/>
      <c r="P82" s="14">
        <v>0</v>
      </c>
      <c r="Q82" s="1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x14ac:dyDescent="0.2">
      <c r="A83" s="17"/>
      <c r="B83" s="17"/>
      <c r="C83" s="17"/>
      <c r="D83" s="14">
        <f t="shared" si="8"/>
        <v>6.5</v>
      </c>
      <c r="E83" s="12"/>
      <c r="F83" s="12"/>
      <c r="G83" s="17"/>
      <c r="H83" s="17"/>
      <c r="I83" s="17"/>
      <c r="J83" s="14">
        <f>MAX($D$9-$B$42,0)</f>
        <v>0</v>
      </c>
      <c r="K83" s="12"/>
      <c r="L83" s="12"/>
      <c r="M83" s="12"/>
      <c r="N83" s="17"/>
      <c r="O83" s="17"/>
      <c r="P83" s="17"/>
      <c r="Q83" s="14">
        <v>0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x14ac:dyDescent="0.2">
      <c r="A84" s="19" t="s">
        <v>53</v>
      </c>
      <c r="B84" s="19"/>
      <c r="C84" s="19"/>
      <c r="D84" s="12"/>
      <c r="E84" s="12"/>
      <c r="F84" s="12"/>
      <c r="G84" s="19" t="s">
        <v>53</v>
      </c>
      <c r="H84" s="19"/>
      <c r="I84" s="19"/>
      <c r="J84" s="12"/>
      <c r="K84" s="12"/>
      <c r="L84" s="12"/>
      <c r="M84" s="12"/>
      <c r="N84" s="12"/>
      <c r="O84" s="12"/>
      <c r="P84" s="12"/>
      <c r="Q84" s="12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x14ac:dyDescent="0.2">
      <c r="A85" s="17" t="s">
        <v>49</v>
      </c>
      <c r="B85" s="16" t="s">
        <v>54</v>
      </c>
      <c r="C85" s="16" t="s">
        <v>55</v>
      </c>
      <c r="D85" s="12"/>
      <c r="E85" s="12"/>
      <c r="F85" s="12"/>
      <c r="G85" s="17" t="s">
        <v>49</v>
      </c>
      <c r="H85" s="16" t="s">
        <v>54</v>
      </c>
      <c r="I85" s="16" t="s">
        <v>55</v>
      </c>
      <c r="J85" s="12"/>
      <c r="K85" s="12"/>
      <c r="L85" s="12"/>
      <c r="M85" s="12"/>
      <c r="N85" s="12"/>
      <c r="O85" s="12"/>
      <c r="P85" s="12"/>
      <c r="Q85" s="12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x14ac:dyDescent="0.2">
      <c r="A86" s="17" t="s">
        <v>46</v>
      </c>
      <c r="B86" s="12">
        <f>(C80-C82)/($C$6-$C$8)</f>
        <v>4.7041824899697313E-2</v>
      </c>
      <c r="C86" s="12">
        <f>$B$17*(C82*$B$26-C80*$C$26)/($B$26-$C$26)</f>
        <v>4.4238171691424375</v>
      </c>
      <c r="D86" s="12"/>
      <c r="E86" s="12"/>
      <c r="F86" s="12"/>
      <c r="G86" s="17" t="s">
        <v>46</v>
      </c>
      <c r="H86" s="12">
        <f>(I80-I82)/($C$6-$C$8)</f>
        <v>0.73467892986136363</v>
      </c>
      <c r="I86" s="12">
        <f>$B$17*(I82*$B$26-I80*$C$26)/($B$26-$C$26)</f>
        <v>-40.265047486759741</v>
      </c>
      <c r="J86" s="12"/>
      <c r="K86" s="12"/>
      <c r="L86" s="12"/>
      <c r="M86" s="12"/>
      <c r="N86" s="12"/>
      <c r="O86" s="12"/>
      <c r="P86" s="12"/>
      <c r="Q86" s="12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x14ac:dyDescent="0.2">
      <c r="A87" s="17" t="s">
        <v>50</v>
      </c>
      <c r="B87" s="12">
        <f>(D79-D81)/($D$5-$D$7)</f>
        <v>4.0202283693601973E-2</v>
      </c>
      <c r="C87" s="12">
        <f>$B$19*(D81*$B$27-D79*$C$27)/($B$27-$C$27)</f>
        <v>5.6709392085138619</v>
      </c>
      <c r="D87" s="12"/>
      <c r="E87" s="12"/>
      <c r="F87" s="12"/>
      <c r="G87" s="17" t="s">
        <v>50</v>
      </c>
      <c r="H87" s="12">
        <f>(J79-J81)/($D$5-$D$7)</f>
        <v>1</v>
      </c>
      <c r="I87" s="12">
        <f>$B$19*(J81*$B$27-J79*$C$27)/($B$27-$C$27)</f>
        <v>-80.952380952380949</v>
      </c>
      <c r="J87" s="12"/>
      <c r="K87" s="12"/>
      <c r="L87" s="12"/>
      <c r="M87" s="12"/>
      <c r="N87" s="12"/>
      <c r="O87" s="12">
        <f>B19*((B33)^2*Q79+B33*(C33)*2*Q81+(C33)^2*Q83)</f>
        <v>35.458889438128196</v>
      </c>
      <c r="P87" s="12"/>
      <c r="Q87" s="12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x14ac:dyDescent="0.2">
      <c r="A88" s="17" t="s">
        <v>51</v>
      </c>
      <c r="B88" s="12">
        <f>(D81-D83)/($D$7-$D$9)</f>
        <v>6.1071653014764686E-2</v>
      </c>
      <c r="C88" s="12">
        <f>$B$19*(D83*$B$28-D81*$C$28)/($B$28-$C$28)</f>
        <v>3.7330692001201822</v>
      </c>
      <c r="D88" s="12"/>
      <c r="E88" s="12"/>
      <c r="F88" s="12"/>
      <c r="G88" s="17" t="s">
        <v>51</v>
      </c>
      <c r="H88" s="12">
        <f>(J81-J83)/($D$7-$D$9)</f>
        <v>0.22624434389140272</v>
      </c>
      <c r="I88" s="12">
        <f>$B$19*(J83*$B$28-J81*$C$28)/($B$28-$C$28)</f>
        <v>-9.1036414565826327</v>
      </c>
      <c r="J88" s="12"/>
      <c r="K88" s="12"/>
      <c r="L88" s="12"/>
      <c r="M88" s="12"/>
      <c r="N88" s="12"/>
      <c r="O88" s="12"/>
      <c r="P88" s="12"/>
      <c r="Q88" s="12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x14ac:dyDescent="0.2">
      <c r="A97" s="20" t="s">
        <v>59</v>
      </c>
      <c r="B97" s="20"/>
      <c r="C97" s="20"/>
      <c r="D97" s="20"/>
      <c r="E97" s="20"/>
      <c r="F97" s="20"/>
      <c r="G97" s="20"/>
      <c r="H97" s="20"/>
      <c r="I97" s="20"/>
      <c r="J97" s="20"/>
      <c r="K97" s="12"/>
      <c r="L97" s="12"/>
      <c r="M97" s="12"/>
      <c r="N97" s="12"/>
      <c r="O97" s="12"/>
      <c r="P97" s="12"/>
      <c r="Q97" s="12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x14ac:dyDescent="0.2">
      <c r="A100" s="20" t="s">
        <v>60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12"/>
      <c r="L100" s="12"/>
      <c r="M100" s="12"/>
      <c r="N100" s="12"/>
      <c r="O100" s="12"/>
      <c r="P100" s="12"/>
      <c r="Q100" s="12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x14ac:dyDescent="0.2">
      <c r="A102" s="20" t="s">
        <v>21</v>
      </c>
      <c r="B102" s="20"/>
      <c r="C102" s="20"/>
      <c r="D102" s="20"/>
      <c r="E102" s="12"/>
      <c r="F102" s="12"/>
      <c r="G102" s="20" t="s">
        <v>21</v>
      </c>
      <c r="H102" s="20"/>
      <c r="I102" s="20"/>
      <c r="J102" s="20"/>
      <c r="K102" s="12"/>
      <c r="L102" s="12"/>
      <c r="M102" s="12"/>
      <c r="N102" s="12"/>
      <c r="O102" s="12"/>
      <c r="P102" s="12"/>
      <c r="Q102" s="12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x14ac:dyDescent="0.2">
      <c r="A103" s="12" t="s">
        <v>23</v>
      </c>
      <c r="B103" s="12">
        <v>85</v>
      </c>
      <c r="C103" s="12"/>
      <c r="D103" s="12"/>
      <c r="E103" s="12"/>
      <c r="F103" s="12"/>
      <c r="G103" s="12" t="s">
        <v>23</v>
      </c>
      <c r="H103" s="12">
        <v>1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x14ac:dyDescent="0.2">
      <c r="A104" s="17"/>
      <c r="B104" s="17"/>
      <c r="C104" s="17"/>
      <c r="D104" s="17">
        <f>MAX($D$5-$B$103,0)</f>
        <v>140</v>
      </c>
      <c r="E104" s="12"/>
      <c r="F104" s="12"/>
      <c r="G104" s="17"/>
      <c r="H104" s="17"/>
      <c r="I104" s="17"/>
      <c r="J104" s="17">
        <f>MAX($D$5-$H$103,0)</f>
        <v>224</v>
      </c>
      <c r="K104" s="12"/>
      <c r="L104" s="12"/>
      <c r="M104" s="12"/>
      <c r="N104" s="12"/>
      <c r="O104" s="12"/>
      <c r="P104" s="12"/>
      <c r="Q104" s="12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x14ac:dyDescent="0.2">
      <c r="A105" s="17"/>
      <c r="B105" s="17"/>
      <c r="C105" s="17">
        <f>MAX($B$19*($B$34*D104+$C$34*D106),C112)</f>
        <v>69.047619047619037</v>
      </c>
      <c r="D105" s="17"/>
      <c r="E105" s="12"/>
      <c r="F105" s="12"/>
      <c r="G105" s="17"/>
      <c r="H105" s="17"/>
      <c r="I105" s="17">
        <f>MAX($H$19*($H$34*J104+$I$34*J106),I112)</f>
        <v>149.03439458374243</v>
      </c>
      <c r="J105" s="17"/>
      <c r="K105" s="12"/>
      <c r="L105" s="12"/>
      <c r="M105" s="12"/>
      <c r="N105" s="12"/>
      <c r="O105" s="12"/>
      <c r="P105" s="12"/>
      <c r="Q105" s="12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x14ac:dyDescent="0.2">
      <c r="A106" s="17" t="s">
        <v>25</v>
      </c>
      <c r="B106" s="17">
        <f>MAX($B$17*($B$33*C105+$C$33*C107),B113)</f>
        <v>33.770370893455414</v>
      </c>
      <c r="C106" s="17"/>
      <c r="D106" s="17">
        <f>MAX($D$7-B103,0)</f>
        <v>12.5</v>
      </c>
      <c r="E106" s="12"/>
      <c r="F106" s="12"/>
      <c r="G106" s="17" t="s">
        <v>25</v>
      </c>
      <c r="H106" s="17">
        <f>MAX($H$17*($H$33*I105+$I$33*I107),H113)</f>
        <v>99.067606180094046</v>
      </c>
      <c r="I106" s="17"/>
      <c r="J106" s="17">
        <f>MAX($D$7-H103,0)</f>
        <v>96.5</v>
      </c>
      <c r="K106" s="12"/>
      <c r="L106" s="12"/>
      <c r="M106" s="12"/>
      <c r="N106" s="12"/>
      <c r="O106" s="12"/>
      <c r="P106" s="12"/>
      <c r="Q106" s="12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x14ac:dyDescent="0.2">
      <c r="A107" s="17"/>
      <c r="B107" s="17"/>
      <c r="C107" s="17">
        <f>MAX($B$19*($B$35*D106+$C$35*D108),C114)</f>
        <v>5.6022408963585439</v>
      </c>
      <c r="D107" s="17"/>
      <c r="E107" s="12"/>
      <c r="F107" s="12"/>
      <c r="G107" s="17"/>
      <c r="H107" s="17"/>
      <c r="I107" s="17">
        <f>MAX($H$19*($H$35*J106+$I$35*J108),I114)</f>
        <v>64.03439458374244</v>
      </c>
      <c r="J107" s="17"/>
      <c r="K107" s="12"/>
      <c r="L107" s="12"/>
      <c r="M107" s="12"/>
      <c r="N107" s="12"/>
      <c r="O107" s="12"/>
      <c r="P107" s="12"/>
      <c r="Q107" s="12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x14ac:dyDescent="0.2">
      <c r="A108" s="17"/>
      <c r="B108" s="17"/>
      <c r="C108" s="17"/>
      <c r="D108" s="17">
        <f>MAX($D$9-B103,0)</f>
        <v>0</v>
      </c>
      <c r="E108" s="12"/>
      <c r="F108" s="12"/>
      <c r="G108" s="17"/>
      <c r="H108" s="17"/>
      <c r="I108" s="17"/>
      <c r="J108" s="17">
        <f>MAX($D$9-H103,0)</f>
        <v>41.25</v>
      </c>
      <c r="K108" s="12"/>
      <c r="L108" s="12"/>
      <c r="M108" s="12"/>
      <c r="N108" s="12"/>
      <c r="O108" s="12"/>
      <c r="P108" s="12"/>
      <c r="Q108" s="12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x14ac:dyDescent="0.2">
      <c r="A110" s="12" t="s">
        <v>61</v>
      </c>
      <c r="B110" s="12"/>
      <c r="C110" s="12"/>
      <c r="D110" s="12"/>
      <c r="E110" s="12"/>
      <c r="F110" s="12"/>
      <c r="G110" s="12" t="s">
        <v>61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x14ac:dyDescent="0.2">
      <c r="A111" s="17"/>
      <c r="B111" s="17"/>
      <c r="C111" s="17"/>
      <c r="D111" s="17">
        <f>MAX(D5-$B$103,0)</f>
        <v>140</v>
      </c>
      <c r="E111" s="12"/>
      <c r="F111" s="12"/>
      <c r="G111" s="17"/>
      <c r="H111" s="17"/>
      <c r="I111" s="17"/>
      <c r="J111" s="17">
        <f>MAX(D5-$H$103,0)</f>
        <v>224</v>
      </c>
      <c r="K111" s="12"/>
      <c r="L111" s="12"/>
      <c r="M111" s="12"/>
      <c r="N111" s="12"/>
      <c r="O111" s="12"/>
      <c r="P111" s="12"/>
      <c r="Q111" s="12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x14ac:dyDescent="0.2">
      <c r="A112" s="17"/>
      <c r="B112" s="17"/>
      <c r="C112" s="17">
        <f t="shared" ref="C112" si="9">MAX(C6-$B$103,0)</f>
        <v>65</v>
      </c>
      <c r="D112" s="17"/>
      <c r="E112" s="12"/>
      <c r="F112" s="12"/>
      <c r="G112" s="17"/>
      <c r="H112" s="17"/>
      <c r="I112" s="17">
        <f>MAX(C6-$H$103,0)</f>
        <v>149</v>
      </c>
      <c r="J112" s="17"/>
      <c r="K112" s="12"/>
      <c r="L112" s="12"/>
      <c r="M112" s="12"/>
      <c r="N112" s="12"/>
      <c r="O112" s="12"/>
      <c r="P112" s="12"/>
      <c r="Q112" s="12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x14ac:dyDescent="0.2">
      <c r="A113" s="17" t="s">
        <v>25</v>
      </c>
      <c r="B113" s="17">
        <f>MAX(B7-$B$103,0)</f>
        <v>15</v>
      </c>
      <c r="C113" s="17"/>
      <c r="D113" s="17">
        <f t="shared" ref="D113" si="10">MAX(D7-$B$103,0)</f>
        <v>12.5</v>
      </c>
      <c r="E113" s="12"/>
      <c r="F113" s="12"/>
      <c r="G113" s="17" t="s">
        <v>25</v>
      </c>
      <c r="H113" s="17">
        <f>MAX(B7-$H$103,0)</f>
        <v>99</v>
      </c>
      <c r="I113" s="17"/>
      <c r="J113" s="17">
        <f>MAX(D7-$H$103,0)</f>
        <v>96.5</v>
      </c>
      <c r="K113" s="12"/>
      <c r="L113" s="12"/>
      <c r="M113" s="12"/>
      <c r="N113" s="12"/>
      <c r="O113" s="12"/>
      <c r="P113" s="12"/>
      <c r="Q113" s="12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x14ac:dyDescent="0.2">
      <c r="A114" s="17"/>
      <c r="B114" s="17"/>
      <c r="C114" s="17">
        <f t="shared" ref="C114" si="11">MAX(C8-$B$103,0)</f>
        <v>0</v>
      </c>
      <c r="D114" s="17"/>
      <c r="E114" s="12"/>
      <c r="F114" s="12"/>
      <c r="G114" s="17"/>
      <c r="H114" s="17"/>
      <c r="I114" s="17">
        <f>MAX(C8-$H$103,0)</f>
        <v>64</v>
      </c>
      <c r="J114" s="17"/>
      <c r="K114" s="12"/>
      <c r="L114" s="12"/>
      <c r="M114" s="12"/>
      <c r="N114" s="12"/>
      <c r="O114" s="12"/>
      <c r="P114" s="12"/>
      <c r="Q114" s="12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x14ac:dyDescent="0.2">
      <c r="A115" s="17"/>
      <c r="B115" s="17"/>
      <c r="C115" s="17"/>
      <c r="D115" s="17">
        <f t="shared" ref="D115" si="12">MAX(D9-$B$103,0)</f>
        <v>0</v>
      </c>
      <c r="E115" s="12"/>
      <c r="F115" s="12"/>
      <c r="G115" s="17"/>
      <c r="H115" s="17"/>
      <c r="I115" s="17"/>
      <c r="J115" s="17">
        <f>MAX(D9-$H$103,0)</f>
        <v>41.25</v>
      </c>
      <c r="K115" s="12"/>
      <c r="L115" s="12"/>
      <c r="M115" s="12"/>
      <c r="N115" s="12"/>
      <c r="O115" s="12"/>
      <c r="P115" s="12"/>
      <c r="Q115" s="12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x14ac:dyDescent="0.2">
      <c r="A117" s="12" t="s">
        <v>62</v>
      </c>
      <c r="B117" s="12" t="s">
        <v>46</v>
      </c>
      <c r="C117" s="12" t="s">
        <v>50</v>
      </c>
      <c r="D117" s="12" t="s">
        <v>51</v>
      </c>
      <c r="E117" s="12"/>
      <c r="F117" s="12"/>
      <c r="G117" s="12" t="s">
        <v>62</v>
      </c>
      <c r="H117" s="12" t="s">
        <v>46</v>
      </c>
      <c r="I117" s="12" t="s">
        <v>50</v>
      </c>
      <c r="J117" s="12" t="s">
        <v>51</v>
      </c>
      <c r="K117" s="12"/>
      <c r="L117" s="12"/>
      <c r="M117" s="12"/>
      <c r="N117" s="12"/>
      <c r="O117" s="12"/>
      <c r="P117" s="12"/>
      <c r="Q117" s="12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x14ac:dyDescent="0.2">
      <c r="A118" s="12"/>
      <c r="B118" s="12" t="str">
        <f>IF($B$17*($B$33*C105+$C$33*C107)&lt;B113,"exercise","dont exercise")</f>
        <v>dont exercise</v>
      </c>
      <c r="C118" s="12" t="str">
        <f>IF($B$19*($B$34*D104+$C$34*D106)&lt;C112,"exercise","dont exercise")</f>
        <v>dont exercise</v>
      </c>
      <c r="D118" s="12" t="str">
        <f>IF($B$19*($B$35*D106+$C$35*D108)&lt;C114,"exercise","dont exercise")</f>
        <v>dont exercise</v>
      </c>
      <c r="E118" s="12"/>
      <c r="F118" s="12"/>
      <c r="G118" s="12"/>
      <c r="H118" s="12" t="str">
        <f>IF($B$17*($B$33*I105+$C$33*I107)&lt;H113,"exercise","dont exercise")</f>
        <v>dont exercise</v>
      </c>
      <c r="I118" s="12" t="str">
        <f>IF($B$19*($B$34*J104+$C$34*J106)&lt;I112,"exercise","dont exercise")</f>
        <v>dont exercise</v>
      </c>
      <c r="J118" s="12" t="str">
        <f>IF($B$19*($B$35*J106+$C$35*J108)&lt;I114,"exercise","dont exercise")</f>
        <v>dont exercise</v>
      </c>
      <c r="K118" s="12"/>
      <c r="L118" s="12"/>
      <c r="M118" s="12"/>
      <c r="N118" s="12"/>
      <c r="O118" s="12"/>
      <c r="P118" s="12"/>
      <c r="Q118" s="12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x14ac:dyDescent="0.2">
      <c r="A119" s="12" t="s">
        <v>64</v>
      </c>
      <c r="B119" s="12"/>
      <c r="C119" s="12"/>
      <c r="D119" s="12"/>
      <c r="E119" s="12"/>
      <c r="F119" s="12"/>
      <c r="G119" s="12" t="s">
        <v>64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x14ac:dyDescent="0.2">
      <c r="A120" s="12" t="s">
        <v>63</v>
      </c>
      <c r="B120" s="12"/>
      <c r="C120" s="12"/>
      <c r="D120" s="12"/>
      <c r="E120" s="12"/>
      <c r="F120" s="12"/>
      <c r="G120" s="12" t="s">
        <v>63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x14ac:dyDescent="0.2">
      <c r="A124" s="12" t="s">
        <v>22</v>
      </c>
      <c r="B124" s="12"/>
      <c r="C124" s="12"/>
      <c r="D124" s="12"/>
      <c r="E124" s="12"/>
      <c r="F124" s="12"/>
      <c r="G124" s="12" t="s">
        <v>22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x14ac:dyDescent="0.2">
      <c r="A125" s="12" t="s">
        <v>23</v>
      </c>
      <c r="B125" s="12">
        <v>85</v>
      </c>
      <c r="C125" s="12"/>
      <c r="D125" s="12"/>
      <c r="E125" s="12"/>
      <c r="F125" s="12"/>
      <c r="G125" s="12" t="s">
        <v>23</v>
      </c>
      <c r="H125" s="12">
        <v>1000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x14ac:dyDescent="0.2">
      <c r="A126" s="17"/>
      <c r="B126" s="17"/>
      <c r="C126" s="17"/>
      <c r="D126" s="17">
        <f>MAX(-$D$5+$B$103,0)</f>
        <v>0</v>
      </c>
      <c r="E126" s="12"/>
      <c r="F126" s="12"/>
      <c r="G126" s="17"/>
      <c r="H126" s="17"/>
      <c r="I126" s="17"/>
      <c r="J126" s="17">
        <f>MAX(-$D$5+$B$103,0)</f>
        <v>0</v>
      </c>
      <c r="K126" s="12"/>
      <c r="L126" s="12"/>
      <c r="M126" s="12"/>
      <c r="N126" s="12"/>
      <c r="O126" s="12"/>
      <c r="P126" s="12"/>
      <c r="Q126" s="12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x14ac:dyDescent="0.2">
      <c r="A127" s="17"/>
      <c r="B127" s="17"/>
      <c r="C127" s="17">
        <f>MAX($B$19*($B$34*D126+$C$34*D128),C134)</f>
        <v>0</v>
      </c>
      <c r="D127" s="17"/>
      <c r="E127" s="12"/>
      <c r="F127" s="12"/>
      <c r="G127" s="17"/>
      <c r="H127" s="17"/>
      <c r="I127" s="17">
        <f>MAX($H$19*($H$34*J126+$I$34*J128),I134)</f>
        <v>850</v>
      </c>
      <c r="J127" s="17"/>
      <c r="K127" s="12"/>
      <c r="L127" s="12"/>
      <c r="M127" s="12"/>
      <c r="N127" s="12"/>
      <c r="O127" s="12"/>
      <c r="P127" s="12"/>
      <c r="Q127" s="12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x14ac:dyDescent="0.2">
      <c r="A128" s="17" t="s">
        <v>26</v>
      </c>
      <c r="B128" s="17">
        <f>MAX($B$17*($B$33*C127+$C$33*C129),B135)</f>
        <v>10.867876562389656</v>
      </c>
      <c r="C128" s="17"/>
      <c r="D128" s="17">
        <f>MAX(-$D$7+B125,0)</f>
        <v>0</v>
      </c>
      <c r="E128" s="12"/>
      <c r="F128" s="12"/>
      <c r="G128" s="17" t="s">
        <v>25</v>
      </c>
      <c r="H128" s="17">
        <f>MAX($H$17*($H$33*I127+$I$33*I129),H135)</f>
        <v>900</v>
      </c>
      <c r="I128" s="17"/>
      <c r="J128" s="17">
        <f>MAX(-$D$7+H125,0)</f>
        <v>902.5</v>
      </c>
      <c r="K128" s="12"/>
      <c r="L128" s="12"/>
      <c r="M128" s="12"/>
      <c r="N128" s="12"/>
      <c r="O128" s="12"/>
      <c r="P128" s="12"/>
      <c r="Q128" s="12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x14ac:dyDescent="0.2">
      <c r="A129" s="17"/>
      <c r="B129" s="17"/>
      <c r="C129" s="17">
        <f>MAX($B$19*($B$35*D128+$C$35*D130),C136)</f>
        <v>21.55462184873949</v>
      </c>
      <c r="D129" s="17"/>
      <c r="E129" s="12"/>
      <c r="F129" s="12"/>
      <c r="G129" s="17"/>
      <c r="H129" s="17"/>
      <c r="I129" s="17">
        <f>MAX($H$19*($H$35*J128+$I$35*J130),I136)</f>
        <v>935</v>
      </c>
      <c r="J129" s="17"/>
      <c r="K129" s="12"/>
      <c r="L129" s="12"/>
      <c r="M129" s="12"/>
      <c r="N129" s="12"/>
      <c r="O129" s="12"/>
      <c r="P129" s="12"/>
      <c r="Q129" s="12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x14ac:dyDescent="0.2">
      <c r="A130" s="17"/>
      <c r="B130" s="17"/>
      <c r="C130" s="17"/>
      <c r="D130" s="17">
        <f>MAX(-$D$9+B125,0)</f>
        <v>42.75</v>
      </c>
      <c r="E130" s="12"/>
      <c r="F130" s="12"/>
      <c r="G130" s="17"/>
      <c r="H130" s="17"/>
      <c r="I130" s="17"/>
      <c r="J130" s="17">
        <f>MAX(-$D$9+H125,0)</f>
        <v>957.75</v>
      </c>
      <c r="K130" s="12"/>
      <c r="L130" s="12"/>
      <c r="M130" s="12"/>
      <c r="N130" s="12"/>
      <c r="O130" s="12"/>
      <c r="P130" s="12"/>
      <c r="Q130" s="12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x14ac:dyDescent="0.2">
      <c r="A132" s="12" t="s">
        <v>61</v>
      </c>
      <c r="B132" s="12"/>
      <c r="C132" s="12"/>
      <c r="D132" s="12"/>
      <c r="E132" s="12"/>
      <c r="F132" s="12"/>
      <c r="G132" s="12" t="s">
        <v>61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x14ac:dyDescent="0.2">
      <c r="A133" s="17"/>
      <c r="B133" s="17"/>
      <c r="C133" s="17"/>
      <c r="D133" s="17">
        <f>MAX(-D5+$B$125,0)</f>
        <v>0</v>
      </c>
      <c r="E133" s="12"/>
      <c r="F133" s="12"/>
      <c r="G133" s="17"/>
      <c r="H133" s="17"/>
      <c r="I133" s="17"/>
      <c r="J133" s="17">
        <f>MAX(-D5+$H$125,0)</f>
        <v>775</v>
      </c>
      <c r="K133" s="12"/>
      <c r="L133" s="12"/>
      <c r="M133" s="12"/>
      <c r="N133" s="12"/>
      <c r="O133" s="12"/>
      <c r="P133" s="12"/>
      <c r="Q133" s="12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x14ac:dyDescent="0.2">
      <c r="A134" s="17"/>
      <c r="B134" s="17"/>
      <c r="C134" s="17">
        <f>MAX(-C6+$B$125,0)</f>
        <v>0</v>
      </c>
      <c r="D134" s="17"/>
      <c r="E134" s="12"/>
      <c r="F134" s="12"/>
      <c r="G134" s="17"/>
      <c r="H134" s="17"/>
      <c r="I134" s="17">
        <f t="shared" ref="I134" si="13">MAX(-C6+$H$125,0)</f>
        <v>850</v>
      </c>
      <c r="J134" s="17"/>
      <c r="K134" s="12"/>
      <c r="L134" s="12"/>
      <c r="M134" s="12"/>
      <c r="N134" s="12"/>
      <c r="O134" s="12"/>
      <c r="P134" s="12"/>
      <c r="Q134" s="12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x14ac:dyDescent="0.2">
      <c r="A135" s="17" t="s">
        <v>94</v>
      </c>
      <c r="B135" s="17">
        <f>MAX(-B7+$B$125,0)</f>
        <v>0</v>
      </c>
      <c r="C135" s="17"/>
      <c r="D135" s="17">
        <f>MAX(-D7+$B$125,0)</f>
        <v>0</v>
      </c>
      <c r="E135" s="12"/>
      <c r="F135" s="12"/>
      <c r="G135" s="17" t="s">
        <v>25</v>
      </c>
      <c r="H135" s="17">
        <f t="shared" ref="H135" si="14">MAX(-B7+$H$125,0)</f>
        <v>900</v>
      </c>
      <c r="I135" s="17"/>
      <c r="J135" s="17">
        <f t="shared" ref="J135:J137" si="15">MAX(-D7+$H$125,0)</f>
        <v>902.5</v>
      </c>
      <c r="K135" s="12"/>
      <c r="L135" s="12"/>
      <c r="M135" s="12"/>
      <c r="N135" s="12"/>
      <c r="O135" s="12"/>
      <c r="P135" s="12"/>
      <c r="Q135" s="12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x14ac:dyDescent="0.2">
      <c r="A136" s="17"/>
      <c r="B136" s="17"/>
      <c r="C136" s="17">
        <f>MAX(-C8+$B$125,0)</f>
        <v>20</v>
      </c>
      <c r="D136" s="17"/>
      <c r="E136" s="12"/>
      <c r="F136" s="12"/>
      <c r="G136" s="17"/>
      <c r="H136" s="17"/>
      <c r="I136" s="17">
        <f>MAX(-C8+$H$125,0)</f>
        <v>935</v>
      </c>
      <c r="J136" s="17"/>
      <c r="K136" s="12"/>
      <c r="L136" s="12"/>
      <c r="M136" s="12"/>
      <c r="N136" s="12"/>
      <c r="O136" s="12"/>
      <c r="P136" s="12"/>
      <c r="Q136" s="12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x14ac:dyDescent="0.2">
      <c r="A137" s="17"/>
      <c r="B137" s="17"/>
      <c r="C137" s="17"/>
      <c r="D137" s="17">
        <f>MAX(-D9+$B$125,0)</f>
        <v>42.75</v>
      </c>
      <c r="E137" s="12"/>
      <c r="F137" s="12"/>
      <c r="G137" s="17"/>
      <c r="H137" s="17"/>
      <c r="I137" s="17"/>
      <c r="J137" s="17">
        <f t="shared" si="15"/>
        <v>957.75</v>
      </c>
      <c r="K137" s="12"/>
      <c r="L137" s="12"/>
      <c r="M137" s="12"/>
      <c r="N137" s="12"/>
      <c r="O137" s="12"/>
      <c r="P137" s="12"/>
      <c r="Q137" s="12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x14ac:dyDescent="0.2">
      <c r="A138" s="12" t="s">
        <v>62</v>
      </c>
      <c r="B138" s="12" t="s">
        <v>46</v>
      </c>
      <c r="C138" s="12" t="s">
        <v>50</v>
      </c>
      <c r="D138" s="12" t="s">
        <v>51</v>
      </c>
      <c r="E138" s="12"/>
      <c r="F138" s="12"/>
      <c r="G138" s="12" t="s">
        <v>62</v>
      </c>
      <c r="H138" s="12" t="s">
        <v>46</v>
      </c>
      <c r="I138" s="12" t="s">
        <v>50</v>
      </c>
      <c r="J138" s="12" t="s">
        <v>51</v>
      </c>
      <c r="K138" s="12"/>
      <c r="L138" s="12"/>
      <c r="M138" s="12"/>
      <c r="N138" s="12"/>
      <c r="O138" s="12"/>
      <c r="P138" s="12"/>
      <c r="Q138" s="12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x14ac:dyDescent="0.2">
      <c r="A139" s="12"/>
      <c r="B139" s="12" t="str">
        <f>IF($B$17*($B$33*C127+$C$33*C129)&lt;B135,"exercise","dont exercise")</f>
        <v>dont exercise</v>
      </c>
      <c r="C139" s="12" t="str">
        <f>IF($B$19*($B$34*D126+$C$34*D128)&lt;C134,"exercise","dont exercise")</f>
        <v>dont exercise</v>
      </c>
      <c r="D139" s="12" t="str">
        <f>IF($B$19*($B$35*D128+$C$35*D130)&lt;C136,"exercise","dont exercise")</f>
        <v>dont exercise</v>
      </c>
      <c r="E139" s="12"/>
      <c r="F139" s="12"/>
      <c r="G139" s="12"/>
      <c r="H139" s="12" t="str">
        <f>IF($B$17*($B$33*I127+$C$33*I129)&lt;H135,"exercise","dont exercise")</f>
        <v>exercise</v>
      </c>
      <c r="I139" s="12" t="str">
        <f>IF($B$19*($B$34*J126+$C$34*J128)&lt;I134,"exercise","dont exercise")</f>
        <v>exercise</v>
      </c>
      <c r="J139" s="12" t="str">
        <f>IF($B$19*($B$35*J128+$C$35*J130)&lt;I136,"exercise","dont exercise")</f>
        <v>exercise</v>
      </c>
      <c r="K139" s="12"/>
      <c r="L139" s="12"/>
      <c r="M139" s="12"/>
      <c r="N139" s="12"/>
      <c r="O139" s="12"/>
      <c r="P139" s="12"/>
      <c r="Q139" s="12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x14ac:dyDescent="0.2">
      <c r="A140" s="12" t="s">
        <v>64</v>
      </c>
      <c r="B140" s="12"/>
      <c r="C140" s="12"/>
      <c r="D140" s="12"/>
      <c r="E140" s="12"/>
      <c r="F140" s="12"/>
      <c r="G140" s="12" t="s">
        <v>64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x14ac:dyDescent="0.2">
      <c r="A142" s="12" t="s">
        <v>65</v>
      </c>
      <c r="B142" s="12"/>
      <c r="C142" s="12"/>
      <c r="D142" s="12"/>
      <c r="E142" s="12"/>
      <c r="F142" s="12"/>
      <c r="G142" s="12" t="s">
        <v>65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x14ac:dyDescent="0.2">
      <c r="A143" s="12" t="s">
        <v>66</v>
      </c>
      <c r="B143" s="12"/>
      <c r="C143" s="12"/>
      <c r="D143" s="12"/>
      <c r="E143" s="12"/>
      <c r="F143" s="12"/>
      <c r="G143" s="12" t="s">
        <v>66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x14ac:dyDescent="0.2">
      <c r="A145" s="17"/>
      <c r="B145" s="17"/>
      <c r="C145" s="17"/>
      <c r="D145" s="17">
        <f>D153</f>
        <v>0</v>
      </c>
      <c r="E145" s="12"/>
      <c r="F145" s="12"/>
      <c r="G145" s="17"/>
      <c r="H145" s="17"/>
      <c r="I145" s="17"/>
      <c r="J145" s="17">
        <f>J153</f>
        <v>0</v>
      </c>
      <c r="K145" s="12"/>
      <c r="L145" s="12"/>
      <c r="M145" s="12"/>
      <c r="N145" s="12"/>
      <c r="O145" s="12"/>
      <c r="P145" s="12"/>
      <c r="Q145" s="12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x14ac:dyDescent="0.2">
      <c r="A146" s="17"/>
      <c r="B146" s="17"/>
      <c r="C146" s="17">
        <f>MAX($B$19*($B$34*D145+$C$34*D147),C154)</f>
        <v>0</v>
      </c>
      <c r="D146" s="17"/>
      <c r="E146" s="12"/>
      <c r="F146" s="12"/>
      <c r="G146" s="17"/>
      <c r="H146" s="17"/>
      <c r="I146" s="17">
        <f>MAX($H$19*($H$34*J145+$I$34*J147),I154)</f>
        <v>0</v>
      </c>
      <c r="J146" s="17"/>
      <c r="K146" s="12"/>
      <c r="L146" s="12"/>
      <c r="M146" s="12"/>
      <c r="N146" s="12"/>
      <c r="O146" s="12"/>
      <c r="P146" s="12"/>
      <c r="Q146" s="12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x14ac:dyDescent="0.2">
      <c r="A147" s="17" t="s">
        <v>30</v>
      </c>
      <c r="B147" s="17">
        <f>MAX($B$17*($B$33*C146+$C$33*C148),B155)</f>
        <v>1.260504201680672</v>
      </c>
      <c r="C147" s="17"/>
      <c r="D147" s="17">
        <f>D155</f>
        <v>0</v>
      </c>
      <c r="E147" s="12"/>
      <c r="F147" s="12"/>
      <c r="G147" s="17" t="s">
        <v>30</v>
      </c>
      <c r="H147" s="17">
        <f>MAX($H$17*($H$33*I146+$I$33*I148),H155)</f>
        <v>1.3188474246657342</v>
      </c>
      <c r="I147" s="17"/>
      <c r="J147" s="17">
        <f>J155</f>
        <v>0</v>
      </c>
      <c r="K147" s="12"/>
      <c r="L147" s="12"/>
      <c r="M147" s="12"/>
      <c r="N147" s="12"/>
      <c r="O147" s="12"/>
      <c r="P147" s="12"/>
      <c r="Q147" s="12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x14ac:dyDescent="0.2">
      <c r="A148" s="17"/>
      <c r="B148" s="17"/>
      <c r="C148" s="17">
        <f>MAX($B$19*($B$35*D147+$C$35*D149),C156)</f>
        <v>2.5</v>
      </c>
      <c r="D148" s="17"/>
      <c r="E148" s="12"/>
      <c r="F148" s="12"/>
      <c r="G148" s="17"/>
      <c r="H148" s="17"/>
      <c r="I148" s="17">
        <f>MAX($H$19*($H$35*J147+$I$35*J149),I156)</f>
        <v>2.5</v>
      </c>
      <c r="J148" s="17"/>
      <c r="K148" s="12"/>
      <c r="L148" s="12"/>
      <c r="M148" s="12"/>
      <c r="N148" s="12"/>
      <c r="O148" s="12"/>
      <c r="P148" s="12"/>
      <c r="Q148" s="12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x14ac:dyDescent="0.2">
      <c r="A149" s="17"/>
      <c r="B149" s="17"/>
      <c r="C149" s="17"/>
      <c r="D149" s="17">
        <f>D157</f>
        <v>4.75</v>
      </c>
      <c r="E149" s="12"/>
      <c r="F149" s="12"/>
      <c r="G149" s="17"/>
      <c r="H149" s="17"/>
      <c r="I149" s="17"/>
      <c r="J149" s="17">
        <f>MAX(-$D$9+H142,0)</f>
        <v>0</v>
      </c>
      <c r="K149" s="12"/>
      <c r="L149" s="12"/>
      <c r="M149" s="12"/>
      <c r="N149" s="12"/>
      <c r="O149" s="12"/>
      <c r="P149" s="12"/>
      <c r="Q149" s="12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x14ac:dyDescent="0.2">
      <c r="A152" s="12" t="s">
        <v>61</v>
      </c>
      <c r="B152" s="12"/>
      <c r="C152" s="12"/>
      <c r="D152" s="12"/>
      <c r="E152" s="12"/>
      <c r="F152" s="12"/>
      <c r="G152" s="12" t="s">
        <v>61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1:31" x14ac:dyDescent="0.2">
      <c r="A153" s="17"/>
      <c r="B153" s="17"/>
      <c r="C153" s="17"/>
      <c r="D153" s="14">
        <v>0</v>
      </c>
      <c r="E153" s="12"/>
      <c r="F153" s="12"/>
      <c r="G153" s="17"/>
      <c r="H153" s="17"/>
      <c r="I153" s="17"/>
      <c r="J153" s="14">
        <f>MAX(-$D$5+$B$103,0)</f>
        <v>0</v>
      </c>
      <c r="K153" s="12"/>
      <c r="L153" s="12"/>
      <c r="M153" s="12"/>
      <c r="N153" s="12"/>
      <c r="O153" s="12"/>
      <c r="P153" s="12"/>
      <c r="Q153" s="12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x14ac:dyDescent="0.2">
      <c r="A154" s="17"/>
      <c r="B154" s="17"/>
      <c r="C154" s="14">
        <f>MAX($B$19*($B$34*D153+$C$34*D155),C159)</f>
        <v>0</v>
      </c>
      <c r="D154" s="17"/>
      <c r="E154" s="12"/>
      <c r="F154" s="12"/>
      <c r="G154" s="17"/>
      <c r="H154" s="17"/>
      <c r="I154" s="14">
        <f>MAX($B$19*($B$34*J153+$C$34*J155),I159)</f>
        <v>0</v>
      </c>
      <c r="J154" s="17"/>
      <c r="K154" s="12"/>
      <c r="L154" s="12"/>
      <c r="M154" s="12"/>
      <c r="N154" s="12"/>
      <c r="O154" s="12"/>
      <c r="P154" s="12"/>
      <c r="Q154" s="12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x14ac:dyDescent="0.2">
      <c r="A155" s="17"/>
      <c r="B155" s="14">
        <f>MAX($B$17*($B$33*C154+$C$33*C156),B160)</f>
        <v>1.260504201680672</v>
      </c>
      <c r="C155" s="17"/>
      <c r="D155" s="14">
        <f>MAX(-$D$7+B150,0)</f>
        <v>0</v>
      </c>
      <c r="E155" s="12"/>
      <c r="F155" s="12"/>
      <c r="G155" s="17"/>
      <c r="H155" s="14">
        <f>MAX($B$17*($B$33*I154+$C$33*I156),H160)</f>
        <v>1.260504201680672</v>
      </c>
      <c r="I155" s="17"/>
      <c r="J155" s="14">
        <f>MAX(-$D$7+H150,0)</f>
        <v>0</v>
      </c>
      <c r="K155" s="12"/>
      <c r="L155" s="12"/>
      <c r="M155" s="12"/>
      <c r="N155" s="12"/>
      <c r="O155" s="12"/>
      <c r="P155" s="12"/>
      <c r="Q155" s="12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x14ac:dyDescent="0.2">
      <c r="A156" s="17"/>
      <c r="B156" s="17"/>
      <c r="C156" s="14">
        <v>2.5</v>
      </c>
      <c r="D156" s="17"/>
      <c r="E156" s="12"/>
      <c r="F156" s="12"/>
      <c r="G156" s="17"/>
      <c r="H156" s="17"/>
      <c r="I156" s="14">
        <v>2.5</v>
      </c>
      <c r="J156" s="17"/>
      <c r="K156" s="12"/>
      <c r="L156" s="12"/>
      <c r="M156" s="12"/>
      <c r="N156" s="12"/>
      <c r="O156" s="12"/>
      <c r="P156" s="12"/>
      <c r="Q156" s="12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x14ac:dyDescent="0.2">
      <c r="A157" s="17"/>
      <c r="B157" s="17"/>
      <c r="C157" s="17"/>
      <c r="D157" s="14">
        <v>4.75</v>
      </c>
      <c r="E157" s="12"/>
      <c r="F157" s="12"/>
      <c r="G157" s="17"/>
      <c r="H157" s="17"/>
      <c r="I157" s="17"/>
      <c r="J157" s="14">
        <v>4.75</v>
      </c>
      <c r="K157" s="12"/>
      <c r="L157" s="12"/>
      <c r="M157" s="12"/>
      <c r="N157" s="12"/>
      <c r="O157" s="12"/>
      <c r="P157" s="12"/>
      <c r="Q157" s="12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x14ac:dyDescent="0.2">
      <c r="A162" s="12" t="s">
        <v>87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1:31" x14ac:dyDescent="0.2">
      <c r="A163" s="12" t="s">
        <v>88</v>
      </c>
      <c r="B163" s="12">
        <v>8.2408000000000001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x14ac:dyDescent="0.2">
      <c r="A164" s="12"/>
      <c r="B164" s="12"/>
      <c r="C164" s="12">
        <f t="shared" ref="C164" si="16">D5-$B$163</f>
        <v>216.75919999999999</v>
      </c>
      <c r="D164" s="12"/>
      <c r="E164" s="12"/>
      <c r="F164" s="12"/>
      <c r="G164" s="12"/>
      <c r="H164" s="12"/>
      <c r="I164" s="12"/>
      <c r="J164" s="12"/>
      <c r="K164" s="12"/>
      <c r="L164" s="12"/>
      <c r="M164" s="12" t="s">
        <v>85</v>
      </c>
      <c r="N164" s="12"/>
      <c r="O164" s="12"/>
      <c r="P164" s="12"/>
      <c r="Q164" s="12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1:31" x14ac:dyDescent="0.2">
      <c r="A165" s="12"/>
      <c r="B165" s="12">
        <f t="shared" ref="B165" si="17">C6-$B$163</f>
        <v>141.75919999999999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x14ac:dyDescent="0.2">
      <c r="A166" s="12">
        <f>B7-$B$163</f>
        <v>91.759199999999993</v>
      </c>
      <c r="B166" s="12"/>
      <c r="C166" s="12">
        <f t="shared" ref="C166" si="18">D7-$B$163</f>
        <v>89.259199999999993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>
        <f>O167*1.14</f>
        <v>59.261759999999988</v>
      </c>
      <c r="Q166" s="12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x14ac:dyDescent="0.2">
      <c r="A167" s="12"/>
      <c r="B167" s="12">
        <f t="shared" ref="B167" si="19">C8-$B$163</f>
        <v>56.7592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>
        <f>M168*1.14</f>
        <v>64.97999999999999</v>
      </c>
      <c r="O167" s="12">
        <f>N167*0.8</f>
        <v>51.983999999999995</v>
      </c>
      <c r="P167" s="12"/>
      <c r="Q167" s="12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x14ac:dyDescent="0.2">
      <c r="A168" s="12"/>
      <c r="B168" s="12"/>
      <c r="C168" s="12">
        <f t="shared" ref="C168" si="20">D9-$B$163</f>
        <v>34.0092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>
        <v>57</v>
      </c>
      <c r="N168" s="12"/>
      <c r="O168" s="12"/>
      <c r="P168" s="12">
        <f>O167*0.8</f>
        <v>41.587199999999996</v>
      </c>
      <c r="Q168" s="12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>
        <f>O170*1.14</f>
        <v>46.785599999999995</v>
      </c>
      <c r="Q169" s="12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x14ac:dyDescent="0.2">
      <c r="A170" s="12" t="s">
        <v>89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>
        <f>M168*0.8</f>
        <v>45.6</v>
      </c>
      <c r="O170" s="12">
        <f>N170*0.9</f>
        <v>41.04</v>
      </c>
      <c r="P170" s="12"/>
      <c r="Q170" s="12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x14ac:dyDescent="0.2">
      <c r="A171" s="12"/>
      <c r="B171" s="12"/>
      <c r="C171" s="12">
        <f t="shared" ref="C171" si="21">-MIN(C164,0)</f>
        <v>0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>
        <f>O170*0.8</f>
        <v>32.832000000000001</v>
      </c>
      <c r="Q171" s="12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x14ac:dyDescent="0.2">
      <c r="A172" s="12"/>
      <c r="B172" s="12">
        <f t="shared" ref="B172" si="22">-MIN(B165,0)</f>
        <v>0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1" x14ac:dyDescent="0.2">
      <c r="A173" s="12">
        <f>-MIN(A166,0)</f>
        <v>0</v>
      </c>
      <c r="B173" s="12"/>
      <c r="C173" s="12">
        <f t="shared" ref="C173" si="23">-MIN(C166,0)</f>
        <v>0</v>
      </c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x14ac:dyDescent="0.2">
      <c r="A174" s="12"/>
      <c r="B174" s="12">
        <f t="shared" ref="B174" si="24">-MIN(B167,0)</f>
        <v>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 t="s">
        <v>86</v>
      </c>
      <c r="N174" s="12"/>
      <c r="O174" s="12"/>
      <c r="P174" s="12"/>
      <c r="Q174" s="12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x14ac:dyDescent="0.2">
      <c r="A175" s="12"/>
      <c r="B175" s="12"/>
      <c r="C175" s="12">
        <f t="shared" ref="C175" si="25">-MIN(C168,0)</f>
        <v>0</v>
      </c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x14ac:dyDescent="0.2">
      <c r="A176" s="12" t="s">
        <v>90</v>
      </c>
      <c r="B176" s="12"/>
      <c r="C176" s="12"/>
      <c r="D176" s="12"/>
      <c r="E176" s="12"/>
      <c r="F176" s="12"/>
      <c r="G176" s="12" t="s">
        <v>10</v>
      </c>
      <c r="H176" s="12" t="s">
        <v>74</v>
      </c>
      <c r="I176" s="12" t="s">
        <v>73</v>
      </c>
      <c r="J176" s="12" t="s">
        <v>75</v>
      </c>
      <c r="K176" s="12"/>
      <c r="L176" s="12"/>
      <c r="M176" s="12"/>
      <c r="N176" s="12"/>
      <c r="O176" s="12"/>
      <c r="P176" s="12"/>
      <c r="Q176" s="12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">
      <c r="A177" s="12" t="s">
        <v>91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>
        <f t="shared" ref="P177" si="26">MAX(P166-$N$184,0)</f>
        <v>4.2617599999999882</v>
      </c>
      <c r="Q177" s="12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">
      <c r="A178" s="12" t="s">
        <v>92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>
        <f t="shared" ref="N178:O178" si="27">MAX(N167-$N$184,0)</f>
        <v>9.9799999999999898</v>
      </c>
      <c r="O178" s="12">
        <f t="shared" si="27"/>
        <v>0</v>
      </c>
      <c r="P178" s="12"/>
      <c r="Q178" s="12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">
      <c r="A179" s="12" t="s">
        <v>93</v>
      </c>
      <c r="B179" s="12"/>
      <c r="C179" s="12"/>
      <c r="D179" s="12"/>
      <c r="E179" s="12"/>
      <c r="F179" s="12"/>
      <c r="G179" s="12"/>
      <c r="H179" s="12"/>
      <c r="I179" s="12">
        <v>0.04</v>
      </c>
      <c r="J179" s="12"/>
      <c r="K179" s="12"/>
      <c r="L179" s="12"/>
      <c r="M179" s="12">
        <f t="shared" ref="M179:P179" si="28">MAX(M168-$N$184,0)</f>
        <v>2</v>
      </c>
      <c r="N179" s="12"/>
      <c r="O179" s="12"/>
      <c r="P179" s="12">
        <f t="shared" si="28"/>
        <v>0</v>
      </c>
      <c r="Q179" s="12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">
      <c r="A180" s="12"/>
      <c r="B180" s="12"/>
      <c r="C180" s="12">
        <f>C171</f>
        <v>0</v>
      </c>
      <c r="D180" s="12"/>
      <c r="E180" s="12"/>
      <c r="F180" s="12"/>
      <c r="G180" s="12"/>
      <c r="H180" s="12">
        <v>0.03</v>
      </c>
      <c r="I180" s="12"/>
      <c r="J180" s="12"/>
      <c r="K180" s="12"/>
      <c r="L180" s="12"/>
      <c r="M180" s="12"/>
      <c r="N180" s="12"/>
      <c r="O180" s="12"/>
      <c r="P180" s="12">
        <f t="shared" ref="P180" si="29">MAX(P169-$N$184,0)</f>
        <v>0</v>
      </c>
      <c r="Q180" s="12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">
      <c r="A181" s="12"/>
      <c r="B181" s="12"/>
      <c r="C181" s="12"/>
      <c r="D181" s="12"/>
      <c r="E181" s="12"/>
      <c r="F181" s="12"/>
      <c r="G181" s="12">
        <v>0.02</v>
      </c>
      <c r="H181" s="12"/>
      <c r="I181" s="12">
        <v>0.03</v>
      </c>
      <c r="J181" s="12">
        <v>1</v>
      </c>
      <c r="K181" s="12"/>
      <c r="L181" s="12"/>
      <c r="M181" s="12"/>
      <c r="N181" s="12">
        <f t="shared" ref="N181:O181" si="30">MAX(N170-$N$184,0)</f>
        <v>0</v>
      </c>
      <c r="O181" s="12">
        <f t="shared" si="30"/>
        <v>0</v>
      </c>
      <c r="P181" s="12"/>
      <c r="Q181" s="12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">
      <c r="A182" s="12"/>
      <c r="B182" s="12"/>
      <c r="C182" s="12">
        <f t="shared" ref="C182:C184" si="31">C173</f>
        <v>0</v>
      </c>
      <c r="D182" s="12"/>
      <c r="E182" s="12"/>
      <c r="F182" s="12"/>
      <c r="G182" s="12"/>
      <c r="H182" s="12">
        <v>1.4999999999999999E-2</v>
      </c>
      <c r="I182" s="12"/>
      <c r="J182" s="12"/>
      <c r="K182" s="12"/>
      <c r="L182" s="12"/>
      <c r="M182" s="12"/>
      <c r="N182" s="12"/>
      <c r="O182" s="12"/>
      <c r="P182" s="12">
        <f t="shared" ref="P182" si="32">MAX(P171-$N$184,0)</f>
        <v>0</v>
      </c>
      <c r="Q182" s="12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">
      <c r="A183" s="12"/>
      <c r="B183" s="12"/>
      <c r="C183" s="12"/>
      <c r="D183" s="12"/>
      <c r="E183" s="12"/>
      <c r="F183" s="12"/>
      <c r="G183" s="12"/>
      <c r="H183" s="12"/>
      <c r="I183" s="12">
        <v>0.01</v>
      </c>
      <c r="J183" s="12"/>
      <c r="K183" s="12"/>
      <c r="L183" s="12"/>
      <c r="M183" s="12"/>
      <c r="N183" s="12"/>
      <c r="O183" s="12"/>
      <c r="P183" s="12"/>
      <c r="Q183" s="12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">
      <c r="A184" s="12"/>
      <c r="B184" s="12"/>
      <c r="C184" s="12">
        <f t="shared" si="31"/>
        <v>0</v>
      </c>
      <c r="D184" s="12"/>
      <c r="E184" s="12"/>
      <c r="F184" s="12"/>
      <c r="G184" s="12"/>
      <c r="H184" s="12"/>
      <c r="I184" s="12"/>
      <c r="J184" s="12"/>
      <c r="K184" s="12"/>
      <c r="L184" s="12"/>
      <c r="M184" s="12" t="s">
        <v>23</v>
      </c>
      <c r="N184" s="12">
        <f>55</f>
        <v>55</v>
      </c>
      <c r="O184" s="12"/>
      <c r="P184" s="12"/>
      <c r="Q184" s="12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">
      <c r="A186" s="12"/>
      <c r="B186" s="12"/>
      <c r="C186" s="12"/>
      <c r="D186" s="12"/>
      <c r="E186" s="12"/>
      <c r="F186" s="12"/>
      <c r="G186" s="12" t="s">
        <v>83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">
      <c r="A187" s="12"/>
      <c r="B187" s="12"/>
      <c r="C187" s="12"/>
      <c r="D187" s="12"/>
      <c r="E187" s="12"/>
      <c r="F187" s="12"/>
      <c r="G187" s="12"/>
      <c r="H187" s="12"/>
      <c r="I187" s="12">
        <v>0.3</v>
      </c>
      <c r="J187" s="12"/>
      <c r="K187" s="12"/>
      <c r="L187" s="12"/>
      <c r="M187" s="12"/>
      <c r="N187" s="12"/>
      <c r="O187" s="12"/>
      <c r="P187" s="12"/>
      <c r="Q187" s="12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">
      <c r="A188" s="12"/>
      <c r="B188" s="12"/>
      <c r="C188" s="12"/>
      <c r="D188" s="12"/>
      <c r="E188" s="12"/>
      <c r="F188" s="12"/>
      <c r="G188" s="12"/>
      <c r="H188" s="12">
        <v>0.5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">
      <c r="A189" s="12"/>
      <c r="B189" s="12"/>
      <c r="C189" s="12"/>
      <c r="D189" s="12"/>
      <c r="E189" s="12"/>
      <c r="F189" s="12"/>
      <c r="G189" s="12"/>
      <c r="H189" s="12"/>
      <c r="I189" s="12">
        <v>0.7</v>
      </c>
      <c r="J189" s="12"/>
      <c r="K189" s="12"/>
      <c r="L189" s="12"/>
      <c r="M189" s="12"/>
      <c r="N189" s="12"/>
      <c r="O189" s="12"/>
      <c r="P189" s="12"/>
      <c r="Q189" s="12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">
      <c r="A190" s="12"/>
      <c r="B190" s="12"/>
      <c r="C190" s="12"/>
      <c r="D190" s="12"/>
      <c r="E190" s="12"/>
      <c r="F190" s="12"/>
      <c r="G190" s="12"/>
      <c r="H190" s="12"/>
      <c r="I190" s="12">
        <v>0.5</v>
      </c>
      <c r="J190" s="12"/>
      <c r="K190" s="12"/>
      <c r="L190" s="12"/>
      <c r="M190" s="12"/>
      <c r="N190" s="12"/>
      <c r="O190" s="12"/>
      <c r="P190" s="12"/>
      <c r="Q190" s="12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">
      <c r="A191" s="12"/>
      <c r="B191" s="12"/>
      <c r="C191" s="12"/>
      <c r="D191" s="12"/>
      <c r="E191" s="12"/>
      <c r="F191" s="12"/>
      <c r="G191" s="12"/>
      <c r="H191" s="12">
        <v>0.5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">
      <c r="A192" s="12"/>
      <c r="B192" s="12"/>
      <c r="C192" s="12"/>
      <c r="D192" s="12"/>
      <c r="E192" s="12"/>
      <c r="F192" s="12"/>
      <c r="G192" s="12"/>
      <c r="H192" s="12"/>
      <c r="I192" s="12">
        <v>0.5</v>
      </c>
      <c r="J192" s="12"/>
      <c r="K192" s="12"/>
      <c r="L192" s="12"/>
      <c r="M192" s="12"/>
      <c r="N192" s="12"/>
      <c r="O192" s="12"/>
      <c r="P192" s="12"/>
      <c r="Q192" s="12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2">
      <c r="A193" s="12"/>
      <c r="B193" s="12"/>
      <c r="C193" s="12"/>
      <c r="D193" s="12"/>
      <c r="E193" s="12"/>
      <c r="F193" s="12"/>
      <c r="G193" s="12" t="s">
        <v>76</v>
      </c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x14ac:dyDescent="0.2">
      <c r="A195" s="12"/>
      <c r="B195" s="12"/>
      <c r="C195" s="12"/>
      <c r="D195" s="12"/>
      <c r="E195" s="12"/>
      <c r="F195" s="12"/>
      <c r="G195" s="12"/>
      <c r="H195" s="12"/>
      <c r="I195" s="12" t="s">
        <v>84</v>
      </c>
      <c r="J195" s="12"/>
      <c r="K195" s="12"/>
      <c r="L195" s="12"/>
      <c r="M195" s="12"/>
      <c r="N195" s="12"/>
      <c r="O195" s="12"/>
      <c r="P195" s="12"/>
      <c r="Q195" s="12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x14ac:dyDescent="0.2">
      <c r="A196" s="12"/>
      <c r="B196" s="12"/>
      <c r="C196" s="12"/>
      <c r="D196" s="12"/>
      <c r="E196" s="12"/>
      <c r="F196" s="12"/>
      <c r="G196" s="12"/>
      <c r="H196" s="12"/>
      <c r="I196" s="12">
        <f>H197*I187/(1+H180)</f>
        <v>0.14277555682467158</v>
      </c>
      <c r="J196" s="12">
        <f>I196/(1+I179)</f>
        <v>0.1372841892544919</v>
      </c>
      <c r="K196" s="12"/>
      <c r="L196" s="12">
        <v>0</v>
      </c>
      <c r="M196" s="12"/>
      <c r="N196" s="12"/>
      <c r="O196" s="12"/>
      <c r="P196" s="12"/>
      <c r="Q196" s="12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x14ac:dyDescent="0.2">
      <c r="A197" s="12"/>
      <c r="B197" s="12"/>
      <c r="C197" s="12"/>
      <c r="D197" s="12"/>
      <c r="E197" s="12"/>
      <c r="F197" s="12"/>
      <c r="G197" s="12"/>
      <c r="H197" s="12">
        <f>G198*H188/(1+G181)</f>
        <v>0.49019607843137253</v>
      </c>
      <c r="I197" s="12">
        <f>H197*I189/(1+H180)</f>
        <v>0.3331429659242337</v>
      </c>
      <c r="J197" s="12">
        <f>I197/(1+I181)</f>
        <v>0.32343977274197444</v>
      </c>
      <c r="K197" s="12"/>
      <c r="L197" s="12"/>
      <c r="M197" s="12"/>
      <c r="N197" s="12"/>
      <c r="O197" s="12"/>
      <c r="P197" s="12"/>
      <c r="Q197" s="12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x14ac:dyDescent="0.2">
      <c r="A198" s="12"/>
      <c r="B198" s="12"/>
      <c r="C198" s="12"/>
      <c r="D198" s="12"/>
      <c r="E198" s="12"/>
      <c r="F198" s="12"/>
      <c r="G198" s="12">
        <v>1</v>
      </c>
      <c r="H198" s="12"/>
      <c r="I198" s="12"/>
      <c r="J198" s="12"/>
      <c r="K198" s="12"/>
      <c r="L198" s="12">
        <v>1.1974</v>
      </c>
      <c r="M198" s="12"/>
      <c r="N198" s="12"/>
      <c r="O198" s="12"/>
      <c r="P198" s="12"/>
      <c r="Q198" s="12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x14ac:dyDescent="0.2">
      <c r="A199" s="12"/>
      <c r="B199" s="12"/>
      <c r="C199" s="12"/>
      <c r="D199" s="12"/>
      <c r="E199" s="12"/>
      <c r="F199" s="12"/>
      <c r="G199" s="12"/>
      <c r="H199" s="12">
        <f>G198*H191/(1+G181)</f>
        <v>0.49019607843137253</v>
      </c>
      <c r="I199" s="12">
        <f>I190*H199/(1+H182)</f>
        <v>0.24147590070510963</v>
      </c>
      <c r="J199" s="12">
        <f>I199/(1+I181)</f>
        <v>0.23444262204379576</v>
      </c>
      <c r="K199" s="12"/>
      <c r="L199" s="12"/>
      <c r="M199" s="12"/>
      <c r="N199" s="12"/>
      <c r="O199" s="12"/>
      <c r="P199" s="12"/>
      <c r="Q199" s="12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x14ac:dyDescent="0.2">
      <c r="A200" s="12"/>
      <c r="B200" s="12"/>
      <c r="C200" s="12"/>
      <c r="D200" s="12"/>
      <c r="E200" s="12"/>
      <c r="F200" s="12"/>
      <c r="G200" s="12"/>
      <c r="H200" s="12"/>
      <c r="I200" s="12">
        <f>H199*I192/(1+H182)</f>
        <v>0.24147590070510963</v>
      </c>
      <c r="J200" s="12">
        <f>I200/(1+I183)</f>
        <v>0.23908505020307885</v>
      </c>
      <c r="K200" s="12"/>
      <c r="L200" s="12">
        <v>7.7953999999999999</v>
      </c>
      <c r="M200" s="12">
        <f>J200*L200+J199*L198+J197*L198</f>
        <v>2.5317719798695624</v>
      </c>
      <c r="N200" s="12"/>
      <c r="O200" s="12"/>
      <c r="P200" s="12"/>
      <c r="Q200" s="12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x14ac:dyDescent="0.2">
      <c r="A201" s="12"/>
      <c r="B201" s="12"/>
      <c r="C201" s="12"/>
      <c r="D201" s="12"/>
      <c r="E201" s="12"/>
      <c r="F201" s="12"/>
      <c r="G201" s="12"/>
      <c r="H201" s="12" t="s">
        <v>79</v>
      </c>
      <c r="I201" s="12" t="s">
        <v>78</v>
      </c>
      <c r="J201" s="12" t="s">
        <v>77</v>
      </c>
      <c r="K201" s="12"/>
      <c r="L201" s="12"/>
      <c r="M201" s="12"/>
      <c r="N201" s="12"/>
      <c r="O201" s="12"/>
      <c r="P201" s="12"/>
      <c r="Q201" s="12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x14ac:dyDescent="0.2">
      <c r="A202" s="12"/>
      <c r="B202" s="12"/>
      <c r="C202" s="12"/>
      <c r="D202" s="12"/>
      <c r="E202" s="12"/>
      <c r="F202" s="12"/>
      <c r="G202" s="12"/>
      <c r="H202" s="12">
        <f>H197+H199</f>
        <v>0.98039215686274506</v>
      </c>
      <c r="I202" s="12">
        <f>I196+I198+I200</f>
        <v>0.38425145752978118</v>
      </c>
      <c r="J202" s="12">
        <f>J196+J197+J199+J200</f>
        <v>0.9342516342433409</v>
      </c>
      <c r="K202" s="12"/>
      <c r="L202" s="12"/>
      <c r="M202" s="12"/>
      <c r="N202" s="12"/>
      <c r="O202" s="12"/>
      <c r="P202" s="12"/>
      <c r="Q202" s="12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spans="1:3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x14ac:dyDescent="0.2">
      <c r="A204" s="12"/>
      <c r="B204" s="12"/>
      <c r="C204" s="12"/>
      <c r="D204" s="12"/>
      <c r="E204" s="12"/>
      <c r="F204" s="12"/>
      <c r="G204" s="12"/>
      <c r="H204" s="12" t="s">
        <v>80</v>
      </c>
      <c r="I204" s="12" t="s">
        <v>81</v>
      </c>
      <c r="J204" s="12" t="s">
        <v>82</v>
      </c>
      <c r="K204" s="12"/>
      <c r="L204" s="12"/>
      <c r="M204" s="12"/>
      <c r="N204" s="12"/>
      <c r="O204" s="12"/>
      <c r="P204" s="12"/>
      <c r="Q204" s="12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x14ac:dyDescent="0.2">
      <c r="A205" s="12"/>
      <c r="B205" s="12"/>
      <c r="C205" s="12"/>
      <c r="D205" s="12"/>
      <c r="E205" s="12"/>
      <c r="F205" s="12"/>
      <c r="G205" s="12"/>
      <c r="H205" s="12">
        <f>1/H202-1</f>
        <v>2.0000000000000018E-2</v>
      </c>
      <c r="I205" s="12">
        <f>1/I202^(1/2)-1</f>
        <v>0.61321495068704213</v>
      </c>
      <c r="J205" s="12">
        <f>1/J202^(1/3)-1</f>
        <v>2.2928733636811138E-2</v>
      </c>
      <c r="K205" s="12"/>
      <c r="L205" s="12"/>
      <c r="M205" s="12"/>
      <c r="N205" s="12"/>
      <c r="O205" s="12"/>
      <c r="P205" s="12"/>
      <c r="Q205" s="12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spans="1:3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9F8A-029C-F34E-910D-54401E197C8F}">
  <dimension ref="A1:AD112"/>
  <sheetViews>
    <sheetView zoomScale="110" workbookViewId="0">
      <selection activeCell="P49" sqref="P49"/>
    </sheetView>
  </sheetViews>
  <sheetFormatPr baseColWidth="10" defaultRowHeight="16" x14ac:dyDescent="0.2"/>
  <cols>
    <col min="1" max="1" width="35.33203125" bestFit="1" customWidth="1"/>
    <col min="4" max="4" width="12" bestFit="1" customWidth="1"/>
  </cols>
  <sheetData>
    <row r="1" spans="1:30" x14ac:dyDescent="0.2">
      <c r="A1" s="8" t="s">
        <v>1</v>
      </c>
      <c r="B1" s="8" t="s">
        <v>149</v>
      </c>
      <c r="C1" s="8"/>
      <c r="D1" s="8"/>
      <c r="E1" s="8"/>
      <c r="F1" s="8"/>
      <c r="G1" s="8"/>
      <c r="H1" s="8"/>
      <c r="I1" s="8"/>
      <c r="J1" s="8"/>
      <c r="K1" s="8"/>
      <c r="L1" s="8"/>
      <c r="M1" s="8" t="s">
        <v>150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8"/>
      <c r="AC2" s="8"/>
      <c r="AD2" s="8"/>
    </row>
    <row r="3" spans="1:30" x14ac:dyDescent="0.2">
      <c r="A3" s="16" t="s">
        <v>152</v>
      </c>
      <c r="B3" s="12"/>
      <c r="C3" s="12"/>
      <c r="D3" s="12"/>
      <c r="E3" s="12"/>
      <c r="F3" s="12" t="s">
        <v>153</v>
      </c>
      <c r="G3" s="12"/>
      <c r="H3" s="12"/>
      <c r="I3" s="12"/>
      <c r="J3" s="12"/>
      <c r="K3" s="12"/>
      <c r="L3" s="12"/>
      <c r="M3" s="12" t="s">
        <v>152</v>
      </c>
      <c r="N3" s="12"/>
      <c r="O3" s="12"/>
      <c r="P3" s="12"/>
      <c r="Q3" s="12"/>
      <c r="R3" s="12"/>
      <c r="S3" s="12"/>
      <c r="T3" s="12"/>
      <c r="U3" s="12"/>
      <c r="V3" s="12" t="s">
        <v>153</v>
      </c>
      <c r="W3" s="12"/>
      <c r="X3" s="12"/>
      <c r="Y3" s="12"/>
      <c r="Z3" s="12"/>
      <c r="AA3" s="12"/>
      <c r="AB3" s="8"/>
      <c r="AC3" s="8"/>
      <c r="AD3" s="8"/>
    </row>
    <row r="4" spans="1:30" x14ac:dyDescent="0.2">
      <c r="A4" s="12" t="s">
        <v>159</v>
      </c>
      <c r="B4" s="12" t="s">
        <v>10</v>
      </c>
      <c r="C4" s="12" t="s">
        <v>154</v>
      </c>
      <c r="D4" s="12" t="s">
        <v>151</v>
      </c>
      <c r="E4" s="12"/>
      <c r="F4" s="12" t="s">
        <v>10</v>
      </c>
      <c r="G4" s="12"/>
      <c r="H4" s="12" t="s">
        <v>154</v>
      </c>
      <c r="I4" s="12"/>
      <c r="J4" s="12"/>
      <c r="K4" s="12"/>
      <c r="L4" s="12"/>
      <c r="M4" s="12"/>
      <c r="N4" s="12" t="s">
        <v>10</v>
      </c>
      <c r="O4" s="12" t="s">
        <v>154</v>
      </c>
      <c r="P4" s="12" t="s">
        <v>151</v>
      </c>
      <c r="Q4" s="12" t="s">
        <v>160</v>
      </c>
      <c r="R4" s="12"/>
      <c r="S4" s="12"/>
      <c r="T4" s="12"/>
      <c r="U4" s="12"/>
      <c r="V4" s="12" t="s">
        <v>10</v>
      </c>
      <c r="W4" s="12"/>
      <c r="X4" s="12" t="s">
        <v>154</v>
      </c>
      <c r="Y4" s="12"/>
      <c r="Z4" s="12" t="s">
        <v>151</v>
      </c>
      <c r="AA4" s="12"/>
      <c r="AB4" s="8"/>
      <c r="AC4" s="8"/>
      <c r="AD4" s="8"/>
    </row>
    <row r="5" spans="1:30" x14ac:dyDescent="0.2">
      <c r="A5" s="12"/>
      <c r="B5" s="12">
        <v>0</v>
      </c>
      <c r="C5" s="12">
        <v>1</v>
      </c>
      <c r="D5" s="12">
        <v>2</v>
      </c>
      <c r="E5" s="12"/>
      <c r="F5" s="12"/>
      <c r="G5" s="12"/>
      <c r="H5" s="12"/>
      <c r="I5" s="12"/>
      <c r="J5" s="12"/>
      <c r="K5" s="12"/>
      <c r="L5" s="12"/>
      <c r="M5" s="12"/>
      <c r="N5" s="12">
        <v>0</v>
      </c>
      <c r="O5" s="12">
        <v>1</v>
      </c>
      <c r="P5" s="12">
        <v>2</v>
      </c>
      <c r="Q5" s="12">
        <v>3</v>
      </c>
      <c r="R5" s="12"/>
      <c r="S5" s="12"/>
      <c r="T5" s="12"/>
      <c r="U5" s="12"/>
      <c r="V5" s="12"/>
      <c r="W5" s="12"/>
      <c r="X5" s="12"/>
      <c r="Y5" s="12" t="s">
        <v>161</v>
      </c>
      <c r="Z5" s="12">
        <v>0.5</v>
      </c>
      <c r="AA5" s="12"/>
      <c r="AB5" s="8"/>
      <c r="AC5" s="8"/>
      <c r="AD5" s="8"/>
    </row>
    <row r="6" spans="1:30" x14ac:dyDescent="0.2">
      <c r="A6" s="12"/>
      <c r="B6" s="12"/>
      <c r="C6" s="12"/>
      <c r="D6" s="12"/>
      <c r="E6" s="12"/>
      <c r="F6" s="12"/>
      <c r="G6" s="12" t="s">
        <v>155</v>
      </c>
      <c r="H6" s="14">
        <v>0.5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 t="s">
        <v>162</v>
      </c>
      <c r="Z6" s="12">
        <v>0.5</v>
      </c>
      <c r="AA6" s="12"/>
      <c r="AB6" s="8"/>
      <c r="AC6" s="8"/>
      <c r="AD6" s="8"/>
    </row>
    <row r="7" spans="1:30" x14ac:dyDescent="0.2">
      <c r="A7" s="12"/>
      <c r="B7" s="12"/>
      <c r="C7" s="12"/>
      <c r="D7" s="14">
        <v>0.03</v>
      </c>
      <c r="E7" s="12"/>
      <c r="F7" s="12"/>
      <c r="G7" s="12" t="s">
        <v>156</v>
      </c>
      <c r="H7" s="14">
        <v>0.5</v>
      </c>
      <c r="I7" s="12"/>
      <c r="J7" s="12"/>
      <c r="K7" s="12"/>
      <c r="L7" s="12"/>
      <c r="M7" s="12"/>
      <c r="N7" s="12"/>
      <c r="O7" s="12"/>
      <c r="P7" s="12"/>
      <c r="Q7" s="12">
        <v>0.08</v>
      </c>
      <c r="R7" s="12"/>
      <c r="S7" s="12"/>
      <c r="T7" s="12"/>
      <c r="U7" s="12"/>
      <c r="V7" s="12"/>
      <c r="W7" s="12" t="s">
        <v>155</v>
      </c>
      <c r="X7" s="12">
        <v>0.5</v>
      </c>
      <c r="Y7" s="12"/>
      <c r="Z7" s="12"/>
      <c r="AA7" s="12"/>
      <c r="AB7" s="8"/>
      <c r="AC7" s="8"/>
      <c r="AD7" s="8"/>
    </row>
    <row r="8" spans="1:30" x14ac:dyDescent="0.2">
      <c r="A8" s="12"/>
      <c r="B8" s="12"/>
      <c r="C8" s="14">
        <v>0.02</v>
      </c>
      <c r="D8" s="12"/>
      <c r="E8" s="12" t="s">
        <v>50</v>
      </c>
      <c r="F8" s="14">
        <v>0.5</v>
      </c>
      <c r="G8" s="12"/>
      <c r="H8" s="12"/>
      <c r="I8" s="12"/>
      <c r="J8" s="12"/>
      <c r="K8" s="12"/>
      <c r="L8" s="12"/>
      <c r="M8" s="12"/>
      <c r="N8" s="12"/>
      <c r="O8" s="12"/>
      <c r="P8" s="12">
        <v>0.04</v>
      </c>
      <c r="Q8" s="12"/>
      <c r="R8" s="12"/>
      <c r="S8" s="12"/>
      <c r="T8" s="12"/>
      <c r="U8" s="12"/>
      <c r="V8" s="12"/>
      <c r="W8" s="12" t="s">
        <v>156</v>
      </c>
      <c r="X8" s="12">
        <v>0.5</v>
      </c>
      <c r="Y8" s="12" t="s">
        <v>163</v>
      </c>
      <c r="Z8" s="12">
        <v>0.5</v>
      </c>
      <c r="AA8" s="12"/>
      <c r="AB8" s="8"/>
      <c r="AC8" s="8"/>
      <c r="AD8" s="8"/>
    </row>
    <row r="9" spans="1:30" x14ac:dyDescent="0.2">
      <c r="A9" s="12"/>
      <c r="B9" s="14">
        <v>0.01</v>
      </c>
      <c r="C9" s="12"/>
      <c r="D9" s="14">
        <v>0.01</v>
      </c>
      <c r="E9" s="12" t="s">
        <v>51</v>
      </c>
      <c r="F9" s="14">
        <v>0.5</v>
      </c>
      <c r="G9" s="12"/>
      <c r="H9" s="12"/>
      <c r="I9" s="12"/>
      <c r="J9" s="12"/>
      <c r="K9" s="12"/>
      <c r="L9" s="12"/>
      <c r="M9" s="12"/>
      <c r="N9" s="12"/>
      <c r="O9" s="12">
        <v>0.02</v>
      </c>
      <c r="P9" s="12"/>
      <c r="Q9" s="12">
        <v>0.02</v>
      </c>
      <c r="R9" s="12"/>
      <c r="S9" s="12"/>
      <c r="T9" s="12"/>
      <c r="U9" s="12" t="s">
        <v>50</v>
      </c>
      <c r="V9" s="12">
        <v>0.5</v>
      </c>
      <c r="W9" s="12"/>
      <c r="X9" s="12"/>
      <c r="Y9" s="12" t="s">
        <v>164</v>
      </c>
      <c r="Z9" s="12">
        <v>0.5</v>
      </c>
      <c r="AA9" s="12"/>
      <c r="AB9" s="8"/>
      <c r="AC9" s="8"/>
      <c r="AD9" s="8"/>
    </row>
    <row r="10" spans="1:30" x14ac:dyDescent="0.2">
      <c r="A10" s="12"/>
      <c r="B10" s="12"/>
      <c r="C10" s="14">
        <v>5.0000000000000001E-3</v>
      </c>
      <c r="D10" s="12"/>
      <c r="E10" s="12"/>
      <c r="F10" s="12"/>
      <c r="G10" s="12" t="s">
        <v>157</v>
      </c>
      <c r="H10" s="14">
        <v>0.5</v>
      </c>
      <c r="I10" s="12"/>
      <c r="J10" s="12"/>
      <c r="K10" s="12"/>
      <c r="L10" s="12"/>
      <c r="M10" s="12"/>
      <c r="N10" s="12">
        <v>0.01</v>
      </c>
      <c r="O10" s="12"/>
      <c r="P10" s="12">
        <v>0.01</v>
      </c>
      <c r="Q10" s="12"/>
      <c r="R10" s="12"/>
      <c r="S10" s="12"/>
      <c r="T10" s="12"/>
      <c r="U10" s="12" t="s">
        <v>51</v>
      </c>
      <c r="V10" s="12">
        <v>0.5</v>
      </c>
      <c r="W10" s="12"/>
      <c r="X10" s="12"/>
      <c r="Y10" s="12"/>
      <c r="Z10" s="12"/>
      <c r="AA10" s="12"/>
      <c r="AB10" s="8"/>
      <c r="AC10" s="8"/>
      <c r="AD10" s="8"/>
    </row>
    <row r="11" spans="1:30" x14ac:dyDescent="0.2">
      <c r="A11" s="12"/>
      <c r="B11" s="12"/>
      <c r="C11" s="12"/>
      <c r="D11" s="14">
        <v>0</v>
      </c>
      <c r="E11" s="12"/>
      <c r="F11" s="12"/>
      <c r="G11" s="12" t="s">
        <v>158</v>
      </c>
      <c r="H11" s="14">
        <v>0.5</v>
      </c>
      <c r="I11" s="12"/>
      <c r="J11" s="12"/>
      <c r="K11" s="12"/>
      <c r="L11" s="12"/>
      <c r="M11" s="12"/>
      <c r="N11" s="12"/>
      <c r="O11" s="12">
        <v>5.0000000000000001E-3</v>
      </c>
      <c r="P11" s="12"/>
      <c r="Q11" s="12">
        <v>0.05</v>
      </c>
      <c r="R11" s="12"/>
      <c r="S11" s="12"/>
      <c r="T11" s="12"/>
      <c r="U11" s="12"/>
      <c r="V11" s="12"/>
      <c r="W11" s="12" t="s">
        <v>157</v>
      </c>
      <c r="X11" s="12">
        <v>0.5</v>
      </c>
      <c r="Y11" s="12" t="s">
        <v>165</v>
      </c>
      <c r="Z11" s="12">
        <v>0.5</v>
      </c>
      <c r="AA11" s="12"/>
      <c r="AB11" s="8"/>
      <c r="AC11" s="8"/>
      <c r="AD11" s="8"/>
    </row>
    <row r="12" spans="1:30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>
        <v>2.5000000000000001E-3</v>
      </c>
      <c r="Q12" s="12"/>
      <c r="R12" s="12"/>
      <c r="S12" s="12"/>
      <c r="T12" s="12"/>
      <c r="U12" s="12"/>
      <c r="V12" s="12"/>
      <c r="W12" s="12" t="s">
        <v>158</v>
      </c>
      <c r="X12" s="12">
        <v>0.5</v>
      </c>
      <c r="Y12" s="12" t="s">
        <v>166</v>
      </c>
      <c r="Z12" s="12">
        <v>0.5</v>
      </c>
      <c r="AA12" s="12"/>
      <c r="AB12" s="8"/>
      <c r="AC12" s="8"/>
      <c r="AD12" s="8"/>
    </row>
    <row r="13" spans="1:30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>
        <v>1.25E-3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8"/>
      <c r="AC13" s="8"/>
      <c r="AD13" s="8"/>
    </row>
    <row r="14" spans="1:30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8"/>
      <c r="AC14" s="8"/>
      <c r="AD14" s="8"/>
    </row>
    <row r="15" spans="1:30" x14ac:dyDescent="0.2">
      <c r="A15" s="12" t="s">
        <v>167</v>
      </c>
      <c r="B15" s="12" t="s">
        <v>168</v>
      </c>
      <c r="C15" s="12"/>
      <c r="D15" s="12"/>
      <c r="E15" s="12"/>
      <c r="F15" s="12"/>
      <c r="G15" s="12"/>
      <c r="H15" s="12" t="s">
        <v>169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8"/>
      <c r="AC15" s="8"/>
      <c r="AD15" s="8"/>
    </row>
    <row r="16" spans="1:30" x14ac:dyDescent="0.2">
      <c r="A16" s="12"/>
      <c r="B16" s="12" t="s">
        <v>10</v>
      </c>
      <c r="C16" s="12" t="s">
        <v>154</v>
      </c>
      <c r="D16" s="12" t="s">
        <v>151</v>
      </c>
      <c r="E16" s="12" t="s">
        <v>160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8"/>
      <c r="AC16" s="8"/>
      <c r="AD16" s="8"/>
    </row>
    <row r="17" spans="1:30" x14ac:dyDescent="0.2">
      <c r="A17" s="12" t="s">
        <v>170</v>
      </c>
      <c r="B17" s="12">
        <v>0</v>
      </c>
      <c r="C17" s="12">
        <v>1</v>
      </c>
      <c r="D17" s="12">
        <v>2</v>
      </c>
      <c r="E17" s="12">
        <v>3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8"/>
      <c r="AC17" s="8"/>
      <c r="AD17" s="8"/>
    </row>
    <row r="18" spans="1:30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8"/>
      <c r="AC18" s="8"/>
      <c r="AD18" s="8"/>
    </row>
    <row r="19" spans="1:30" x14ac:dyDescent="0.2">
      <c r="A19" s="12"/>
      <c r="B19" s="12"/>
      <c r="C19" s="12"/>
      <c r="D19" s="12">
        <f>E21/(1+D7)</f>
        <v>0.970873786407767</v>
      </c>
      <c r="E19" s="12"/>
      <c r="F19" s="12"/>
      <c r="G19" s="12"/>
      <c r="H19" s="12"/>
      <c r="I19" s="12"/>
      <c r="J19" s="12">
        <f>C57*D19</f>
        <v>0</v>
      </c>
      <c r="K19" s="12"/>
      <c r="L19" s="12">
        <f>34-J19</f>
        <v>34</v>
      </c>
      <c r="M19" s="12"/>
      <c r="N19" s="12">
        <f>L19*F37+L21*(F38+F42)</f>
        <v>24.875621890547261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8"/>
      <c r="AC19" s="8"/>
      <c r="AD19" s="8"/>
    </row>
    <row r="20" spans="1:30" x14ac:dyDescent="0.2">
      <c r="A20" s="12"/>
      <c r="B20" s="12"/>
      <c r="C20" s="12">
        <f>1/(1+C8)*(H6*D19+H7*D21)</f>
        <v>0.96126117466115535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8"/>
      <c r="AC20" s="8"/>
      <c r="AD20" s="8"/>
    </row>
    <row r="21" spans="1:30" x14ac:dyDescent="0.2">
      <c r="A21" s="12"/>
      <c r="B21" s="12">
        <f>1/(1+B9)*(F8*C20+F9*C22)</f>
        <v>0.96601989334759675</v>
      </c>
      <c r="C21" s="12"/>
      <c r="D21" s="12">
        <f>E21/(1+D9)</f>
        <v>0.99009900990099009</v>
      </c>
      <c r="E21" s="12">
        <v>1</v>
      </c>
      <c r="F21" s="12"/>
      <c r="G21" s="12"/>
      <c r="H21" s="12"/>
      <c r="I21" s="12"/>
      <c r="J21" s="12">
        <f>C57*D21</f>
        <v>0</v>
      </c>
      <c r="K21" s="12"/>
      <c r="L21" s="12">
        <f t="shared" ref="L21" si="0">34-J21</f>
        <v>34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8"/>
      <c r="AC21" s="8"/>
      <c r="AD21" s="8"/>
    </row>
    <row r="22" spans="1:30" x14ac:dyDescent="0.2">
      <c r="A22" s="12"/>
      <c r="B22" s="12"/>
      <c r="C22" s="12">
        <f>1/(1+C10)*(H10*D21+H11*D23)</f>
        <v>0.9900990099009902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8"/>
      <c r="AC22" s="8"/>
      <c r="AD22" s="8"/>
    </row>
    <row r="23" spans="1:30" x14ac:dyDescent="0.2">
      <c r="A23" s="12"/>
      <c r="B23" s="12"/>
      <c r="C23" s="12"/>
      <c r="D23" s="12">
        <f>E21/(1+D11)</f>
        <v>1</v>
      </c>
      <c r="E23" s="12"/>
      <c r="F23" s="12"/>
      <c r="G23" s="12"/>
      <c r="H23" s="12"/>
      <c r="I23" s="12"/>
      <c r="J23" s="12">
        <f>C57*D23</f>
        <v>0</v>
      </c>
      <c r="K23" s="12"/>
      <c r="L23" s="12">
        <v>0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8"/>
      <c r="AC23" s="8"/>
      <c r="AD23" s="8"/>
    </row>
    <row r="24" spans="1:30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8"/>
      <c r="AC24" s="8"/>
      <c r="AD24" s="8"/>
    </row>
    <row r="25" spans="1:30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8"/>
      <c r="AC25" s="8"/>
      <c r="AD25" s="8"/>
    </row>
    <row r="26" spans="1:30" x14ac:dyDescent="0.2">
      <c r="A26" s="12"/>
      <c r="B26" s="12" t="s">
        <v>169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8"/>
      <c r="AC26" s="8"/>
      <c r="AD26" s="8"/>
    </row>
    <row r="27" spans="1:30" x14ac:dyDescent="0.2">
      <c r="A27" s="12"/>
      <c r="B27" s="12" t="s">
        <v>10</v>
      </c>
      <c r="C27" s="12" t="s">
        <v>154</v>
      </c>
      <c r="D27" s="12" t="s">
        <v>151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8"/>
      <c r="AC27" s="8"/>
      <c r="AD27" s="8"/>
    </row>
    <row r="28" spans="1:30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8"/>
      <c r="AC28" s="8"/>
      <c r="AD28" s="8"/>
    </row>
    <row r="29" spans="1:30" x14ac:dyDescent="0.2">
      <c r="A29" s="12"/>
      <c r="B29" s="12"/>
      <c r="C29" s="12">
        <f>D30/(1+C8)</f>
        <v>0.98039215686274506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8"/>
      <c r="AC29" s="8"/>
      <c r="AD29" s="8"/>
    </row>
    <row r="30" spans="1:30" x14ac:dyDescent="0.2">
      <c r="A30" s="12"/>
      <c r="B30" s="12">
        <f>1/(1+B9)*(F8*C29+F9*C31)</f>
        <v>0.97792922400229487</v>
      </c>
      <c r="C30" s="12"/>
      <c r="D30" s="12">
        <v>1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8"/>
      <c r="AC30" s="8"/>
      <c r="AD30" s="8"/>
    </row>
    <row r="31" spans="1:30" x14ac:dyDescent="0.2">
      <c r="A31" s="12"/>
      <c r="B31" s="12"/>
      <c r="C31" s="12">
        <f>D30/(1+C10)</f>
        <v>0.99502487562189068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8"/>
      <c r="AC31" s="8"/>
      <c r="AD31" s="8"/>
    </row>
    <row r="32" spans="1:30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8"/>
      <c r="AC32" s="8"/>
      <c r="AD32" s="8"/>
    </row>
    <row r="33" spans="1:30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8"/>
      <c r="AC33" s="8"/>
      <c r="AD33" s="8"/>
    </row>
    <row r="34" spans="1:30" x14ac:dyDescent="0.2">
      <c r="A34" s="22" t="s">
        <v>76</v>
      </c>
      <c r="B34" s="22"/>
      <c r="C34" s="22"/>
      <c r="D34" s="22"/>
      <c r="E34" s="22"/>
      <c r="F34" s="22"/>
      <c r="G34" s="22"/>
      <c r="H34" s="22"/>
      <c r="I34" s="12"/>
      <c r="J34" s="12"/>
      <c r="K34" s="12"/>
      <c r="L34" s="12"/>
      <c r="M34" s="12" t="s">
        <v>76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8"/>
      <c r="AC34" s="8"/>
      <c r="AD34" s="8"/>
    </row>
    <row r="35" spans="1:30" x14ac:dyDescent="0.2">
      <c r="A35" s="12"/>
      <c r="B35" s="12" t="s">
        <v>10</v>
      </c>
      <c r="C35" s="12"/>
      <c r="D35" s="12" t="s">
        <v>154</v>
      </c>
      <c r="E35" s="12"/>
      <c r="F35" s="12" t="s">
        <v>151</v>
      </c>
      <c r="G35" s="12"/>
      <c r="H35" s="12" t="s">
        <v>160</v>
      </c>
      <c r="I35" s="12"/>
      <c r="J35" s="12"/>
      <c r="K35" s="12"/>
      <c r="L35" s="12"/>
      <c r="M35" s="12"/>
      <c r="N35" s="12" t="s">
        <v>10</v>
      </c>
      <c r="O35" s="12"/>
      <c r="P35" s="12" t="s">
        <v>154</v>
      </c>
      <c r="Q35" s="12"/>
      <c r="R35" s="12" t="s">
        <v>151</v>
      </c>
      <c r="S35" s="12"/>
      <c r="T35" s="12" t="s">
        <v>160</v>
      </c>
      <c r="U35" s="12"/>
      <c r="V35" s="12" t="s">
        <v>224</v>
      </c>
      <c r="W35" s="12"/>
      <c r="X35" s="12"/>
      <c r="Y35" s="12"/>
      <c r="Z35" s="12"/>
      <c r="AA35" s="12"/>
      <c r="AB35" s="8"/>
      <c r="AC35" s="8"/>
      <c r="AD35" s="8"/>
    </row>
    <row r="36" spans="1:30" x14ac:dyDescent="0.2">
      <c r="A36" s="12"/>
      <c r="B36" s="12"/>
      <c r="C36" s="12"/>
      <c r="D36" s="12">
        <v>1</v>
      </c>
      <c r="E36" s="12"/>
      <c r="F36" s="12">
        <v>2</v>
      </c>
      <c r="G36" s="12"/>
      <c r="H36" s="12">
        <v>3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 t="s">
        <v>161</v>
      </c>
      <c r="T36" s="12">
        <f>R37*Z5/(1+P8)</f>
        <v>0.11666890670967547</v>
      </c>
      <c r="U36" s="12"/>
      <c r="V36" s="12">
        <f>T36/(1+Q7)</f>
        <v>0.10802676547192173</v>
      </c>
      <c r="W36" s="12"/>
      <c r="X36" s="12"/>
      <c r="Y36" s="12"/>
      <c r="Z36" s="12"/>
      <c r="AA36" s="12"/>
      <c r="AB36" s="8"/>
      <c r="AC36" s="8"/>
      <c r="AD36" s="8"/>
    </row>
    <row r="37" spans="1:30" x14ac:dyDescent="0.2">
      <c r="A37" s="12"/>
      <c r="B37" s="12"/>
      <c r="C37" s="12"/>
      <c r="D37" s="12"/>
      <c r="E37" s="12" t="s">
        <v>155</v>
      </c>
      <c r="F37" s="12">
        <f>D38*H6/(1+C8)</f>
        <v>0.24267132595612501</v>
      </c>
      <c r="G37" s="12"/>
      <c r="H37" s="12">
        <f>F37/(1+D7)</f>
        <v>0.2356032290836165</v>
      </c>
      <c r="I37" s="12"/>
      <c r="J37" s="12">
        <v>2</v>
      </c>
      <c r="K37" s="12"/>
      <c r="L37" s="12"/>
      <c r="M37" s="12"/>
      <c r="N37" s="12"/>
      <c r="O37" s="12"/>
      <c r="P37" s="12"/>
      <c r="Q37" s="12" t="s">
        <v>155</v>
      </c>
      <c r="R37" s="12">
        <f>P38*X7/(1+O9)</f>
        <v>0.24267132595612501</v>
      </c>
      <c r="S37" s="12" t="s">
        <v>162</v>
      </c>
      <c r="T37" s="12">
        <f>R37*Z6/(1+P8)</f>
        <v>0.11666890670967547</v>
      </c>
      <c r="U37" s="12"/>
      <c r="V37" s="12">
        <f>T37/(1+Q9)</f>
        <v>0.11438128108791713</v>
      </c>
      <c r="W37" s="12"/>
      <c r="X37" s="12"/>
      <c r="Y37" s="12"/>
      <c r="Z37" s="12"/>
      <c r="AA37" s="12"/>
      <c r="AB37" s="8"/>
      <c r="AC37" s="8"/>
      <c r="AD37" s="8"/>
    </row>
    <row r="38" spans="1:30" x14ac:dyDescent="0.2">
      <c r="A38" s="12"/>
      <c r="B38" s="12"/>
      <c r="C38" s="12" t="s">
        <v>50</v>
      </c>
      <c r="D38" s="12">
        <f>F8*B40/(1+B9)</f>
        <v>0.49504950495049505</v>
      </c>
      <c r="E38" s="12" t="s">
        <v>156</v>
      </c>
      <c r="F38" s="12">
        <f>D38*H7/(1+C8)</f>
        <v>0.24267132595612501</v>
      </c>
      <c r="G38" s="12"/>
      <c r="H38" s="12">
        <f>F38/(1+D9)</f>
        <v>0.2402686395605198</v>
      </c>
      <c r="I38" s="12"/>
      <c r="J38" s="12">
        <v>1.3332999999999999</v>
      </c>
      <c r="K38" s="12"/>
      <c r="L38" s="12"/>
      <c r="M38" s="12"/>
      <c r="N38" s="12"/>
      <c r="O38" s="12" t="s">
        <v>50</v>
      </c>
      <c r="P38" s="12">
        <f>V9*N40/(1+N10)</f>
        <v>0.49504950495049505</v>
      </c>
      <c r="Q38" s="12" t="s">
        <v>156</v>
      </c>
      <c r="R38" s="12">
        <f>P38*X8/(1+O9)</f>
        <v>0.24267132595612501</v>
      </c>
      <c r="S38" s="12" t="s">
        <v>163</v>
      </c>
      <c r="T38" s="12">
        <f>R38*Z8/(1+P10)</f>
        <v>0.1201343197802599</v>
      </c>
      <c r="U38" s="12"/>
      <c r="V38" s="12">
        <f>T38/(1+Q9)</f>
        <v>0.11777874488260774</v>
      </c>
      <c r="W38" s="12"/>
      <c r="X38" s="12"/>
      <c r="Y38" s="12"/>
      <c r="Z38" s="12"/>
      <c r="AA38" s="12"/>
      <c r="AB38" s="8"/>
      <c r="AC38" s="8"/>
      <c r="AD38" s="8"/>
    </row>
    <row r="39" spans="1:30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 t="s">
        <v>164</v>
      </c>
      <c r="T39" s="12">
        <f>R38*Z9/(1+P10)</f>
        <v>0.1201343197802599</v>
      </c>
      <c r="U39" s="12"/>
      <c r="V39" s="12">
        <f>T39/(1+Q9)</f>
        <v>0.11777874488260774</v>
      </c>
      <c r="W39" s="12"/>
      <c r="X39" s="12"/>
      <c r="Y39" s="12"/>
      <c r="Z39" s="12"/>
      <c r="AA39" s="12"/>
      <c r="AB39" s="8"/>
      <c r="AC39" s="8"/>
      <c r="AD39" s="8"/>
    </row>
    <row r="40" spans="1:30" x14ac:dyDescent="0.2">
      <c r="A40" s="12"/>
      <c r="B40" s="12">
        <v>1</v>
      </c>
      <c r="C40" s="12"/>
      <c r="D40" s="12"/>
      <c r="E40" s="12"/>
      <c r="F40" s="12">
        <f>F38+F42</f>
        <v>0.48896461200114744</v>
      </c>
      <c r="G40" s="12"/>
      <c r="H40" s="12">
        <f>H42+H38</f>
        <v>0.48412337821895784</v>
      </c>
      <c r="I40" s="12"/>
      <c r="J40" s="12"/>
      <c r="K40" s="12"/>
      <c r="L40" s="12"/>
      <c r="M40" s="12"/>
      <c r="N40" s="12">
        <v>1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8"/>
      <c r="AC40" s="8"/>
      <c r="AD40" s="8"/>
    </row>
    <row r="41" spans="1:30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 t="s">
        <v>171</v>
      </c>
      <c r="T41" s="12">
        <f>R42*Z8/(1+P10)</f>
        <v>0.12192736932921902</v>
      </c>
      <c r="U41" s="12"/>
      <c r="V41" s="12">
        <f>T41/(1+Q11)</f>
        <v>0.11612130412306573</v>
      </c>
      <c r="W41" s="12"/>
      <c r="X41" s="12"/>
      <c r="Y41" s="12"/>
      <c r="Z41" s="12"/>
      <c r="AA41" s="12"/>
      <c r="AB41" s="8"/>
      <c r="AC41" s="8"/>
      <c r="AD41" s="8"/>
    </row>
    <row r="42" spans="1:30" x14ac:dyDescent="0.2">
      <c r="A42" s="12"/>
      <c r="B42" s="12"/>
      <c r="C42" s="12" t="s">
        <v>51</v>
      </c>
      <c r="D42" s="12">
        <f>F9*B40/(1+B9)</f>
        <v>0.49504950495049505</v>
      </c>
      <c r="E42" s="12" t="s">
        <v>157</v>
      </c>
      <c r="F42" s="12">
        <f>H10*D42/(1+C10)</f>
        <v>0.24629328604502243</v>
      </c>
      <c r="G42" s="12"/>
      <c r="H42" s="12">
        <f>F42/(1+D9)</f>
        <v>0.24385473865843804</v>
      </c>
      <c r="I42" s="12"/>
      <c r="J42" s="12">
        <v>0.83330000000000004</v>
      </c>
      <c r="K42" s="12"/>
      <c r="L42" s="12"/>
      <c r="M42" s="12"/>
      <c r="N42" s="12"/>
      <c r="O42" s="12" t="s">
        <v>51</v>
      </c>
      <c r="P42" s="12">
        <f>1/(1+N10)*V10</f>
        <v>0.49504950495049505</v>
      </c>
      <c r="Q42" s="12" t="s">
        <v>157</v>
      </c>
      <c r="R42" s="12">
        <f>X11*P42/(1+O11)</f>
        <v>0.24629328604502243</v>
      </c>
      <c r="S42" s="12" t="s">
        <v>172</v>
      </c>
      <c r="T42" s="12">
        <f>R42*Z9/(1+P10)</f>
        <v>0.12192736932921902</v>
      </c>
      <c r="U42" s="12"/>
      <c r="V42" s="12">
        <f>T42/(1+Q11)</f>
        <v>0.11612130412306573</v>
      </c>
      <c r="W42" s="12"/>
      <c r="X42" s="12"/>
      <c r="Y42" s="12"/>
      <c r="Z42" s="12"/>
      <c r="AA42" s="12"/>
      <c r="AB42" s="8"/>
      <c r="AC42" s="8"/>
      <c r="AD42" s="8"/>
    </row>
    <row r="43" spans="1:30" x14ac:dyDescent="0.2">
      <c r="A43" s="12"/>
      <c r="B43" s="12"/>
      <c r="C43" s="12"/>
      <c r="D43" s="12"/>
      <c r="E43" s="12" t="s">
        <v>158</v>
      </c>
      <c r="F43" s="12">
        <f>H11*D42/(1+C10)</f>
        <v>0.24629328604502243</v>
      </c>
      <c r="G43" s="12"/>
      <c r="H43" s="12">
        <f>F43/(1+D11)</f>
        <v>0.24629328604502243</v>
      </c>
      <c r="I43" s="12"/>
      <c r="J43" s="12">
        <v>0.5</v>
      </c>
      <c r="K43" s="12"/>
      <c r="L43" s="12">
        <f>J43*H43+J42*H42+J38*H38+J37*H37</f>
        <v>1.1179074320398616</v>
      </c>
      <c r="M43" s="12"/>
      <c r="N43" s="12"/>
      <c r="O43" s="12"/>
      <c r="P43" s="12"/>
      <c r="Q43" s="12" t="s">
        <v>158</v>
      </c>
      <c r="R43" s="12">
        <f>X12*P42/(1+O11)</f>
        <v>0.24629328604502243</v>
      </c>
      <c r="S43" s="12" t="s">
        <v>165</v>
      </c>
      <c r="T43" s="12">
        <f>R43*Z11/(1+P12)</f>
        <v>0.12283954416210596</v>
      </c>
      <c r="U43" s="12"/>
      <c r="V43" s="12">
        <f>T43/(1+Q11)</f>
        <v>0.11699004205914854</v>
      </c>
      <c r="W43" s="12"/>
      <c r="X43" s="12"/>
      <c r="Y43" s="12"/>
      <c r="Z43" s="12"/>
      <c r="AA43" s="12"/>
      <c r="AB43" s="8"/>
      <c r="AC43" s="8"/>
      <c r="AD43" s="8"/>
    </row>
    <row r="44" spans="1:30" x14ac:dyDescent="0.2">
      <c r="A44" s="22" t="s">
        <v>222</v>
      </c>
      <c r="B44" s="22"/>
      <c r="C44" s="22"/>
      <c r="D44" s="22"/>
      <c r="E44" s="22"/>
      <c r="F44" s="22"/>
      <c r="G44" s="22"/>
      <c r="H44" s="2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 t="s">
        <v>166</v>
      </c>
      <c r="T44" s="12">
        <f>R43*Z12/(1+P12)</f>
        <v>0.12283954416210596</v>
      </c>
      <c r="U44" s="12"/>
      <c r="V44" s="12">
        <f>T44/(1+Q13)</f>
        <v>0.12268618642906963</v>
      </c>
      <c r="W44" s="12"/>
      <c r="X44" s="12"/>
      <c r="Y44" s="12"/>
      <c r="Z44" s="12"/>
      <c r="AA44" s="12"/>
      <c r="AB44" s="8"/>
      <c r="AC44" s="8"/>
      <c r="AD44" s="8"/>
    </row>
    <row r="45" spans="1:30" x14ac:dyDescent="0.2">
      <c r="A45" s="12"/>
      <c r="B45" s="12" t="s">
        <v>173</v>
      </c>
      <c r="C45" s="12"/>
      <c r="D45" s="12" t="s">
        <v>174</v>
      </c>
      <c r="E45" s="12"/>
      <c r="F45" s="12" t="s">
        <v>175</v>
      </c>
      <c r="G45" s="12"/>
      <c r="H45" s="12" t="s">
        <v>176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8"/>
      <c r="AC45" s="8"/>
      <c r="AD45" s="8"/>
    </row>
    <row r="46" spans="1:30" x14ac:dyDescent="0.2">
      <c r="A46" s="12"/>
      <c r="B46" s="12">
        <f>B40</f>
        <v>1</v>
      </c>
      <c r="C46" s="12"/>
      <c r="D46" s="12">
        <f>D38+D42</f>
        <v>0.99009900990099009</v>
      </c>
      <c r="E46" s="12"/>
      <c r="F46" s="12">
        <f>F37+F38+F42+F43</f>
        <v>0.97792922400229487</v>
      </c>
      <c r="G46" s="12"/>
      <c r="H46" s="12">
        <f>H37+H38+H42+H43</f>
        <v>0.96601989334759675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8"/>
      <c r="AC46" s="8"/>
      <c r="AD46" s="8"/>
    </row>
    <row r="47" spans="1:30" x14ac:dyDescent="0.2">
      <c r="A47" s="22" t="s">
        <v>223</v>
      </c>
      <c r="B47" s="22"/>
      <c r="C47" s="22"/>
      <c r="D47" s="22"/>
      <c r="E47" s="22"/>
      <c r="F47" s="22"/>
      <c r="G47" s="22"/>
      <c r="H47" s="22"/>
      <c r="I47" s="12"/>
      <c r="J47" s="12"/>
      <c r="K47" s="12"/>
      <c r="L47" s="12"/>
      <c r="M47" s="12"/>
      <c r="N47" s="12"/>
      <c r="O47" s="12"/>
      <c r="P47" s="12" t="s">
        <v>225</v>
      </c>
      <c r="Q47" s="12"/>
      <c r="R47" s="12" t="s">
        <v>226</v>
      </c>
      <c r="S47" s="12"/>
      <c r="T47" s="12" t="s">
        <v>227</v>
      </c>
      <c r="U47" s="12"/>
      <c r="V47" s="12" t="s">
        <v>228</v>
      </c>
      <c r="W47" s="12"/>
      <c r="X47" s="12"/>
      <c r="Y47" s="12"/>
      <c r="Z47" s="12"/>
      <c r="AA47" s="12"/>
      <c r="AB47" s="8"/>
      <c r="AC47" s="8"/>
      <c r="AD47" s="8"/>
    </row>
    <row r="48" spans="1:30" x14ac:dyDescent="0.2">
      <c r="A48" s="12"/>
      <c r="B48" s="12" t="s">
        <v>180</v>
      </c>
      <c r="C48" s="12"/>
      <c r="D48" s="12" t="s">
        <v>177</v>
      </c>
      <c r="E48" s="12"/>
      <c r="F48" s="12" t="s">
        <v>178</v>
      </c>
      <c r="G48" s="12"/>
      <c r="H48" s="12" t="s">
        <v>179</v>
      </c>
      <c r="I48" s="12"/>
      <c r="J48" s="12"/>
      <c r="K48" s="12"/>
      <c r="L48" s="12"/>
      <c r="M48" s="12"/>
      <c r="N48" s="12"/>
      <c r="O48" s="12"/>
      <c r="P48" s="12">
        <f>P38+P42</f>
        <v>0.99009900990099009</v>
      </c>
      <c r="Q48" s="12"/>
      <c r="R48" s="12">
        <f>R37+R38+R42+R43</f>
        <v>0.97792922400229487</v>
      </c>
      <c r="S48" s="12"/>
      <c r="T48" s="12">
        <f>T36+T37+T38+T39+T41+T43+T42+T44</f>
        <v>0.96314027996252072</v>
      </c>
      <c r="U48" s="12"/>
      <c r="V48" s="12">
        <f>V36+V37+V38+V39+V41+V42+V43+V44</f>
        <v>0.92988437305940397</v>
      </c>
      <c r="W48" s="12"/>
      <c r="X48" s="12"/>
      <c r="Y48" s="12"/>
      <c r="Z48" s="12"/>
      <c r="AA48" s="12"/>
      <c r="AB48" s="8"/>
      <c r="AC48" s="8"/>
      <c r="AD48" s="8"/>
    </row>
    <row r="49" spans="1:30" x14ac:dyDescent="0.2">
      <c r="A49" s="12"/>
      <c r="B49" s="12">
        <v>0</v>
      </c>
      <c r="C49" s="12"/>
      <c r="D49" s="12">
        <f>1/D46^(1/D36)-1</f>
        <v>1.0000000000000009E-2</v>
      </c>
      <c r="E49" s="12"/>
      <c r="F49" s="12">
        <f>1/F46^(1/F36)-1</f>
        <v>1.1221483597381399E-2</v>
      </c>
      <c r="G49" s="12"/>
      <c r="H49" s="12">
        <f>1/H46^(1/H36)-1</f>
        <v>1.1590269808016807E-2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8"/>
      <c r="AC49" s="8"/>
      <c r="AD49" s="8"/>
    </row>
    <row r="50" spans="1:30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8"/>
      <c r="AC50" s="8"/>
      <c r="AD50" s="8"/>
    </row>
    <row r="51" spans="1:30" x14ac:dyDescent="0.2">
      <c r="A51" s="12"/>
      <c r="B51" s="12" t="s">
        <v>181</v>
      </c>
      <c r="C51" s="12"/>
      <c r="D51" s="12" t="s">
        <v>182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8"/>
      <c r="AC51" s="8"/>
      <c r="AD51" s="8"/>
    </row>
    <row r="52" spans="1:30" x14ac:dyDescent="0.2">
      <c r="A52" s="12"/>
      <c r="B52" s="12">
        <f>D46/F46-1</f>
        <v>1.244444444444448E-2</v>
      </c>
      <c r="C52" s="12"/>
      <c r="D52" s="12">
        <f>F46/H46-1</f>
        <v>1.2328245760476086E-2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8"/>
      <c r="AC52" s="8"/>
      <c r="AD52" s="8"/>
    </row>
    <row r="53" spans="1:30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8"/>
      <c r="AC53" s="8"/>
      <c r="AD53" s="8"/>
    </row>
    <row r="54" spans="1:30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8"/>
      <c r="AC54" s="8"/>
      <c r="AD54" s="8"/>
    </row>
    <row r="55" spans="1:30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8"/>
      <c r="AC55" s="8"/>
      <c r="AD55" s="8"/>
    </row>
    <row r="56" spans="1:30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8"/>
      <c r="AC56" s="8"/>
      <c r="AD56" s="8"/>
    </row>
    <row r="57" spans="1:30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8"/>
      <c r="AC57" s="8"/>
      <c r="AD57" s="8"/>
    </row>
    <row r="58" spans="1:30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8"/>
      <c r="AC58" s="8"/>
      <c r="AD58" s="8"/>
    </row>
    <row r="59" spans="1:30" x14ac:dyDescent="0.2">
      <c r="A59" s="12" t="s">
        <v>184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8"/>
      <c r="AC59" s="8"/>
      <c r="AD59" s="8"/>
    </row>
    <row r="60" spans="1:30" x14ac:dyDescent="0.2">
      <c r="A60" s="12" t="s">
        <v>185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8"/>
      <c r="AC60" s="8"/>
      <c r="AD60" s="8"/>
    </row>
    <row r="61" spans="1:30" x14ac:dyDescent="0.2">
      <c r="A61" s="12" t="s">
        <v>186</v>
      </c>
      <c r="B61" s="12"/>
      <c r="C61" s="12"/>
      <c r="D61" s="12"/>
      <c r="E61" s="12" t="s">
        <v>75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8"/>
      <c r="AC61" s="8"/>
      <c r="AD61" s="8"/>
    </row>
    <row r="62" spans="1:30" x14ac:dyDescent="0.2">
      <c r="A62" s="12">
        <v>0.05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8"/>
      <c r="AC62" s="8"/>
      <c r="AD62" s="8"/>
    </row>
    <row r="63" spans="1:30" x14ac:dyDescent="0.2">
      <c r="A63" s="12"/>
      <c r="B63" s="12"/>
      <c r="C63" s="12"/>
      <c r="D63" s="12">
        <f>E65*D19+A62*100</f>
        <v>106.94174757281553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8"/>
      <c r="AC63" s="8"/>
      <c r="AD63" s="8"/>
    </row>
    <row r="64" spans="1:30" x14ac:dyDescent="0.2">
      <c r="A64" s="12"/>
      <c r="B64" s="12"/>
      <c r="C64" s="12">
        <f>MIN(6+(D63*H6+D65*H7)/(1+C8),106)</f>
        <v>106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8"/>
      <c r="AC64" s="8"/>
      <c r="AD64" s="8"/>
    </row>
    <row r="65" spans="1:30" x14ac:dyDescent="0.2">
      <c r="A65" s="12"/>
      <c r="B65" s="12"/>
      <c r="C65" s="12"/>
      <c r="D65" s="12">
        <f>MIN(E65*D21+100*A62,E65)</f>
        <v>105</v>
      </c>
      <c r="E65" s="12">
        <f>100*(1+A62)</f>
        <v>105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8"/>
      <c r="AC65" s="8"/>
      <c r="AD65" s="8"/>
    </row>
    <row r="66" spans="1:30" x14ac:dyDescent="0.2">
      <c r="A66" s="12"/>
      <c r="B66" s="12"/>
      <c r="C66" s="12">
        <f>MIN(6+(H10*D65+H11*D67)/(1+C10),E65)</f>
        <v>105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8"/>
      <c r="AC66" s="8"/>
      <c r="AD66" s="8"/>
    </row>
    <row r="67" spans="1:30" x14ac:dyDescent="0.2">
      <c r="A67" s="12"/>
      <c r="B67" s="12"/>
      <c r="C67" s="12"/>
      <c r="D67" s="12">
        <f>MIN(E65*D23+100*A62,E65)</f>
        <v>105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8"/>
      <c r="AC67" s="8"/>
      <c r="AD67" s="8"/>
    </row>
    <row r="68" spans="1:30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8"/>
      <c r="AC68" s="8"/>
      <c r="AD68" s="8"/>
    </row>
    <row r="69" spans="1:30" x14ac:dyDescent="0.2">
      <c r="A69" s="12" t="s">
        <v>187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8"/>
      <c r="AC69" s="8"/>
      <c r="AD69" s="8"/>
    </row>
    <row r="70" spans="1:30" x14ac:dyDescent="0.2">
      <c r="A70" s="12" t="s">
        <v>183</v>
      </c>
      <c r="B70" s="12">
        <v>100</v>
      </c>
      <c r="C70" s="12" t="s">
        <v>186</v>
      </c>
      <c r="D70" s="12">
        <v>1.04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8"/>
      <c r="AC70" s="8"/>
      <c r="AD70" s="8"/>
    </row>
    <row r="71" spans="1:30" x14ac:dyDescent="0.2">
      <c r="A71" s="12" t="s">
        <v>218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8"/>
      <c r="AC71" s="8"/>
      <c r="AD71" s="8"/>
    </row>
    <row r="72" spans="1:30" x14ac:dyDescent="0.2">
      <c r="A72" s="12">
        <v>36.033999999999999</v>
      </c>
      <c r="B72" s="12">
        <v>36.033999999999999</v>
      </c>
      <c r="C72" s="12">
        <v>36.033999999999999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8"/>
      <c r="AC72" s="8"/>
      <c r="AD72" s="8"/>
    </row>
    <row r="73" spans="1:30" x14ac:dyDescent="0.2">
      <c r="A73" s="12" t="s">
        <v>188</v>
      </c>
      <c r="B73" s="12"/>
      <c r="C73" s="12"/>
      <c r="D73" s="12"/>
      <c r="E73" s="12"/>
      <c r="F73" s="12"/>
      <c r="G73" s="12" t="s">
        <v>220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8"/>
      <c r="AC73" s="8"/>
      <c r="AD73" s="8"/>
    </row>
    <row r="74" spans="1:30" x14ac:dyDescent="0.2">
      <c r="A74" s="12" t="s">
        <v>10</v>
      </c>
      <c r="B74" s="12" t="s">
        <v>74</v>
      </c>
      <c r="C74" s="12" t="s">
        <v>73</v>
      </c>
      <c r="D74" s="12" t="s">
        <v>75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8"/>
      <c r="AC74" s="8"/>
      <c r="AD74" s="8"/>
    </row>
    <row r="75" spans="1:30" x14ac:dyDescent="0.2">
      <c r="A75" s="12">
        <v>100</v>
      </c>
      <c r="B75" s="12">
        <f>B70*D70-A72</f>
        <v>67.966000000000008</v>
      </c>
      <c r="C75" s="12">
        <f>B75*D70-B72</f>
        <v>34.650640000000017</v>
      </c>
      <c r="D75" s="12">
        <f>C75*D70-C72</f>
        <v>2.665600000021584E-3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8"/>
      <c r="AC75" s="8"/>
      <c r="AD75" s="8"/>
    </row>
    <row r="76" spans="1:30" x14ac:dyDescent="0.2">
      <c r="A76" s="12" t="s">
        <v>189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8"/>
      <c r="AC76" s="8"/>
      <c r="AD76" s="8"/>
    </row>
    <row r="77" spans="1:30" x14ac:dyDescent="0.2">
      <c r="A77" s="12"/>
      <c r="B77" s="12"/>
      <c r="C77" s="12">
        <f>MAX(C72/(1+D7)-C75,0)</f>
        <v>0.33382601941745804</v>
      </c>
      <c r="D77" s="12"/>
      <c r="E77" s="12"/>
      <c r="F77" s="12"/>
      <c r="G77" s="12"/>
      <c r="H77" s="12"/>
      <c r="I77" s="12"/>
      <c r="J77" s="12">
        <f>C72*D19</f>
        <v>34.984466019417475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8"/>
      <c r="AC77" s="8"/>
      <c r="AD77" s="8"/>
    </row>
    <row r="78" spans="1:30" x14ac:dyDescent="0.2">
      <c r="A78" s="12"/>
      <c r="B78" s="12">
        <f>MAX(B72*C29+C72*C20-B75,1/(1+C8)*(H6*C77+H7*C79))</f>
        <v>1.999536148132222</v>
      </c>
      <c r="C78" s="12"/>
      <c r="D78" s="12"/>
      <c r="E78" s="12"/>
      <c r="F78" s="12"/>
      <c r="G78" s="12"/>
      <c r="H78" s="12"/>
      <c r="I78" s="12">
        <f>B72*C29+C72*C20</f>
        <v>69.96553614813223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8"/>
      <c r="AC78" s="8"/>
      <c r="AD78" s="8"/>
    </row>
    <row r="79" spans="1:30" x14ac:dyDescent="0.2">
      <c r="A79" s="12">
        <f>MAX(A72*D46+B72*F46+C72*H46-A75,1/(1+B9)*(F8*B78+F9*B80))</f>
        <v>5.7254902173582707</v>
      </c>
      <c r="B79" s="12"/>
      <c r="C79" s="12">
        <f>MAX(C72/(1+D9)-C75,0)</f>
        <v>1.0265877227722555</v>
      </c>
      <c r="D79" s="12"/>
      <c r="E79" s="12"/>
      <c r="F79" s="12"/>
      <c r="G79" s="12"/>
      <c r="H79" s="12">
        <f>A72*D46+B72*F46+C72*H46</f>
        <v>105.72549021735827</v>
      </c>
      <c r="I79" s="12"/>
      <c r="J79" s="12">
        <f>C72*D21</f>
        <v>35.677227722772273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8"/>
      <c r="AC79" s="8"/>
      <c r="AD79" s="8"/>
    </row>
    <row r="80" spans="1:30" x14ac:dyDescent="0.2">
      <c r="A80" s="12"/>
      <c r="B80" s="12">
        <f>MAX(B72*C31+C72*C22-B75,1/(1+C10)*(H10*C79+H11*C81))</f>
        <v>3.5659540909314842</v>
      </c>
      <c r="C80" s="12"/>
      <c r="D80" s="12"/>
      <c r="E80" s="12"/>
      <c r="F80" s="12"/>
      <c r="G80" s="12"/>
      <c r="H80" s="12"/>
      <c r="I80" s="12">
        <f>B72*C31+C72*C22</f>
        <v>71.531954090931492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8"/>
      <c r="AC80" s="8"/>
      <c r="AD80" s="8"/>
    </row>
    <row r="81" spans="1:30" x14ac:dyDescent="0.2">
      <c r="A81" s="12"/>
      <c r="B81" s="12"/>
      <c r="C81" s="12">
        <f>MAX(C72/(1+D11)-C75,0)</f>
        <v>1.3833599999999819</v>
      </c>
      <c r="D81" s="12"/>
      <c r="E81" s="12"/>
      <c r="F81" s="12"/>
      <c r="G81" s="12"/>
      <c r="H81" s="12"/>
      <c r="I81" s="12"/>
      <c r="J81" s="12">
        <f>C72*D23</f>
        <v>36.033999999999999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8"/>
      <c r="AC81" s="8"/>
      <c r="AD81" s="8"/>
    </row>
    <row r="82" spans="1:30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 t="s">
        <v>221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8"/>
      <c r="AC82" s="8"/>
      <c r="AD82" s="8"/>
    </row>
    <row r="83" spans="1:30" x14ac:dyDescent="0.2">
      <c r="A83" s="12" t="s">
        <v>219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8"/>
      <c r="AC83" s="8"/>
      <c r="AD83" s="8"/>
    </row>
    <row r="84" spans="1:30" x14ac:dyDescent="0.2">
      <c r="A84" s="12" t="s">
        <v>46</v>
      </c>
      <c r="B84" s="12" t="str">
        <f>IF((A72*D46+B72*F46+C72*H46-A75&gt;1/(1+B9)*(F8*B78+F9*B80)),"exercise","dont")</f>
        <v>exercise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8"/>
      <c r="AC84" s="8"/>
      <c r="AD84" s="8"/>
    </row>
    <row r="85" spans="1:30" x14ac:dyDescent="0.2">
      <c r="A85" s="12" t="s">
        <v>50</v>
      </c>
      <c r="B85" s="12" t="str">
        <f>IF((B72*C29+C72*C20-B75&gt;1/(1+C8)*(H6*C77+H7*D79)),"exercise","dont")</f>
        <v>exercise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8"/>
      <c r="AC85" s="8"/>
      <c r="AD85" s="8"/>
    </row>
    <row r="86" spans="1:30" x14ac:dyDescent="0.2">
      <c r="A86" s="12" t="s">
        <v>51</v>
      </c>
      <c r="B86" s="12" t="str">
        <f>IF((B72*C31+C72*C22-B75&gt;1/(1+C10)*(H10*C79+H11*C81)),"exercise","dont")</f>
        <v>exercise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8"/>
      <c r="AC86" s="8"/>
      <c r="AD86" s="8"/>
    </row>
    <row r="87" spans="1:30" x14ac:dyDescent="0.2">
      <c r="A87" s="12" t="s">
        <v>155</v>
      </c>
      <c r="B87" s="12" t="str">
        <f>IF(C72/(1+D7)-C75&gt;0,"exercise","dont")</f>
        <v>exercise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8"/>
      <c r="AC87" s="8"/>
      <c r="AD87" s="8"/>
    </row>
    <row r="88" spans="1:30" x14ac:dyDescent="0.2">
      <c r="A88" s="12" t="s">
        <v>156</v>
      </c>
      <c r="B88" s="12" t="str">
        <f>IF(C72/(1+D9)-C75&gt;0,"exercise","dont")</f>
        <v>exercise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8"/>
      <c r="AC88" s="8"/>
      <c r="AD88" s="8"/>
    </row>
    <row r="89" spans="1:30" x14ac:dyDescent="0.2">
      <c r="A89" s="12" t="s">
        <v>158</v>
      </c>
      <c r="B89" s="12" t="str">
        <f>IF(C72/(1+D11)-C75&gt;0,"exercise","dont")</f>
        <v>exercise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8"/>
      <c r="AC89" s="8"/>
      <c r="AD89" s="8"/>
    </row>
    <row r="90" spans="1:30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8"/>
      <c r="AC90" s="8"/>
      <c r="AD90" s="8"/>
    </row>
    <row r="91" spans="1:30" x14ac:dyDescent="0.2"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x14ac:dyDescent="0.2"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x14ac:dyDescent="0.2"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x14ac:dyDescent="0.2"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x14ac:dyDescent="0.2"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x14ac:dyDescent="0.2"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8:30" x14ac:dyDescent="0.2"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8:30" x14ac:dyDescent="0.2"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8:30" x14ac:dyDescent="0.2"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8:30" x14ac:dyDescent="0.2"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8:30" x14ac:dyDescent="0.2"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8:30" x14ac:dyDescent="0.2"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8:30" x14ac:dyDescent="0.2"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8:30" x14ac:dyDescent="0.2"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8:30" x14ac:dyDescent="0.2"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8:30" x14ac:dyDescent="0.2"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8:30" x14ac:dyDescent="0.2"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8:30" x14ac:dyDescent="0.2"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8:30" x14ac:dyDescent="0.2"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8:30" x14ac:dyDescent="0.2"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8:30" x14ac:dyDescent="0.2"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8:30" x14ac:dyDescent="0.2"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4235-A5E1-EC4F-855E-1710F758535A}">
  <dimension ref="A1:AA40"/>
  <sheetViews>
    <sheetView topLeftCell="A9" zoomScale="112" workbookViewId="0">
      <selection activeCell="A34" sqref="A34"/>
    </sheetView>
  </sheetViews>
  <sheetFormatPr baseColWidth="10" defaultRowHeight="16" x14ac:dyDescent="0.2"/>
  <cols>
    <col min="5" max="5" width="15.83203125" bestFit="1" customWidth="1"/>
    <col min="12" max="12" width="12.83203125" bestFit="1" customWidth="1"/>
    <col min="25" max="25" width="14.6640625" bestFit="1" customWidth="1"/>
  </cols>
  <sheetData>
    <row r="1" spans="1:27" x14ac:dyDescent="0.2">
      <c r="A1" t="s">
        <v>118</v>
      </c>
    </row>
    <row r="3" spans="1:27" x14ac:dyDescent="0.2">
      <c r="W3" s="8"/>
      <c r="X3" s="8"/>
      <c r="Y3" s="8"/>
      <c r="Z3" s="8"/>
      <c r="AA3" s="8"/>
    </row>
    <row r="4" spans="1:27" x14ac:dyDescent="0.2">
      <c r="A4" t="s">
        <v>71</v>
      </c>
      <c r="C4" t="s">
        <v>69</v>
      </c>
      <c r="F4" t="s">
        <v>70</v>
      </c>
      <c r="J4" t="s">
        <v>72</v>
      </c>
      <c r="T4" t="s">
        <v>114</v>
      </c>
      <c r="W4" s="8" t="s">
        <v>190</v>
      </c>
      <c r="X4" s="8"/>
      <c r="Y4" s="8"/>
      <c r="Z4" s="8"/>
      <c r="AA4" s="8"/>
    </row>
    <row r="5" spans="1:27" x14ac:dyDescent="0.2">
      <c r="A5" s="4">
        <v>0.3</v>
      </c>
      <c r="C5" s="2">
        <v>1</v>
      </c>
      <c r="E5" s="4">
        <v>0.25</v>
      </c>
      <c r="F5" s="2">
        <f>E6</f>
        <v>0.12</v>
      </c>
      <c r="G5" s="2">
        <f>E7</f>
        <v>0.04</v>
      </c>
      <c r="I5" s="2" cm="1">
        <f t="array" ref="I5:K7">MINVERSE(E5:G7)</f>
        <v>6.2537947783849415</v>
      </c>
      <c r="J5" s="2">
        <v>-4.6144505160898595</v>
      </c>
      <c r="K5" s="2">
        <v>-0.24286581663630802</v>
      </c>
      <c r="N5" t="s">
        <v>111</v>
      </c>
      <c r="O5" t="s">
        <v>112</v>
      </c>
      <c r="P5" t="s">
        <v>113</v>
      </c>
      <c r="Q5" t="s">
        <v>13</v>
      </c>
      <c r="S5" t="s">
        <v>115</v>
      </c>
      <c r="T5">
        <f>SQRT(E5)</f>
        <v>0.5</v>
      </c>
      <c r="W5" s="8" t="s">
        <v>193</v>
      </c>
      <c r="X5" s="8">
        <f>E6/(T5*T6)</f>
        <v>0.6</v>
      </c>
      <c r="Y5" s="8"/>
      <c r="Z5" s="8"/>
      <c r="AA5" s="8"/>
    </row>
    <row r="6" spans="1:27" x14ac:dyDescent="0.2">
      <c r="A6" s="4">
        <v>0.2</v>
      </c>
      <c r="C6" s="2">
        <v>1</v>
      </c>
      <c r="E6" s="4">
        <v>0.12</v>
      </c>
      <c r="F6" s="4">
        <v>0.16</v>
      </c>
      <c r="G6" s="2">
        <f>F7</f>
        <v>0.05</v>
      </c>
      <c r="I6" s="2">
        <v>-4.6144505160898603</v>
      </c>
      <c r="J6" s="2">
        <v>11.171827565270188</v>
      </c>
      <c r="K6" s="2">
        <v>-4.6751669702489389</v>
      </c>
      <c r="N6" cm="1">
        <f t="array" ref="N6">MMULT(MMULT(TRANSPOSE(C5:C7),_xlfn.ANCHORARRAY(I5)),C5:C7)</f>
        <v>13.904068002428659</v>
      </c>
      <c r="O6" cm="1">
        <f t="array" ref="O6">MMULT(MMULT(TRANSPOSE(A5:A7),_xlfn.ANCHORARRAY(I5)),C5:C7)</f>
        <v>2.3891924711596841</v>
      </c>
      <c r="P6" cm="1">
        <f t="array" ref="P6">MMULT(MMULT(TRANSPOSE(A5:A7),_xlfn.ANCHORARRAY(I5)),A5:A7)</f>
        <v>0.50333940497874918</v>
      </c>
      <c r="Q6">
        <f>N6*P6-O6^2</f>
        <v>1.2902246508803881</v>
      </c>
      <c r="S6" t="s">
        <v>116</v>
      </c>
      <c r="T6">
        <f>SQRT(F6)</f>
        <v>0.4</v>
      </c>
      <c r="W6" s="8" t="s">
        <v>192</v>
      </c>
      <c r="X6" s="8">
        <f>E7/(T5*T7)</f>
        <v>0.28284271247461901</v>
      </c>
      <c r="Y6" s="8"/>
      <c r="Z6" s="8"/>
      <c r="AA6" s="8"/>
    </row>
    <row r="7" spans="1:27" x14ac:dyDescent="0.2">
      <c r="A7" s="4">
        <v>0.15</v>
      </c>
      <c r="C7" s="2">
        <v>1</v>
      </c>
      <c r="E7" s="4">
        <v>0.04</v>
      </c>
      <c r="F7" s="4">
        <v>0.05</v>
      </c>
      <c r="G7" s="4">
        <v>0.08</v>
      </c>
      <c r="I7" s="2">
        <v>-0.24286581663630802</v>
      </c>
      <c r="J7" s="2">
        <v>-4.6751669702489389</v>
      </c>
      <c r="K7" s="2">
        <v>15.543412264723742</v>
      </c>
      <c r="S7" t="s">
        <v>117</v>
      </c>
      <c r="T7">
        <f>SQRT(G7)</f>
        <v>0.28284271247461901</v>
      </c>
      <c r="W7" s="8" t="s">
        <v>191</v>
      </c>
      <c r="X7" s="8">
        <f>F7/(T6*T7)</f>
        <v>0.44194173824159222</v>
      </c>
      <c r="Y7" s="8"/>
      <c r="Z7" s="8"/>
      <c r="AA7" s="8"/>
    </row>
    <row r="8" spans="1:27" x14ac:dyDescent="0.2">
      <c r="W8" s="8"/>
      <c r="X8" s="8"/>
      <c r="Y8" s="8"/>
      <c r="Z8" s="8"/>
      <c r="AA8" s="8"/>
    </row>
    <row r="9" spans="1:27" x14ac:dyDescent="0.2">
      <c r="W9" s="8"/>
      <c r="X9" s="8"/>
      <c r="Y9" s="8"/>
      <c r="Z9" s="8"/>
      <c r="AA9" s="8"/>
    </row>
    <row r="10" spans="1:27" x14ac:dyDescent="0.2">
      <c r="W10" s="8"/>
      <c r="X10" s="8"/>
      <c r="Y10" s="8"/>
      <c r="Z10" s="8"/>
      <c r="AA10" s="8"/>
    </row>
    <row r="11" spans="1:27" x14ac:dyDescent="0.2">
      <c r="W11" s="8"/>
      <c r="X11" s="8"/>
      <c r="Y11" s="8"/>
      <c r="Z11" s="8"/>
      <c r="AA11" s="8"/>
    </row>
    <row r="12" spans="1:27" x14ac:dyDescent="0.2">
      <c r="A12" s="10" t="s">
        <v>103</v>
      </c>
      <c r="B12" s="10"/>
      <c r="C12" s="10"/>
      <c r="D12" s="10"/>
      <c r="E12" s="10"/>
      <c r="F12" s="10"/>
      <c r="G12" s="10"/>
      <c r="K12" s="21" t="s">
        <v>106</v>
      </c>
      <c r="L12" s="21"/>
      <c r="M12" s="21"/>
      <c r="N12" s="21"/>
      <c r="O12" s="21"/>
      <c r="P12" s="21"/>
      <c r="Q12" s="21"/>
      <c r="W12" s="8"/>
      <c r="X12" s="8"/>
      <c r="Y12" s="8"/>
      <c r="Z12" s="8"/>
      <c r="AA12" s="8"/>
    </row>
    <row r="13" spans="1:27" x14ac:dyDescent="0.2">
      <c r="A13" t="s">
        <v>107</v>
      </c>
      <c r="C13" t="s">
        <v>108</v>
      </c>
      <c r="D13" t="s">
        <v>196</v>
      </c>
      <c r="E13" t="s">
        <v>110</v>
      </c>
      <c r="K13" t="s">
        <v>135</v>
      </c>
      <c r="N13" t="s">
        <v>143</v>
      </c>
      <c r="W13" s="8"/>
      <c r="X13" s="8"/>
      <c r="Y13" s="8"/>
      <c r="Z13" s="8"/>
      <c r="AA13" s="8"/>
    </row>
    <row r="14" spans="1:27" x14ac:dyDescent="0.2">
      <c r="A14" cm="1">
        <f t="array" ref="A14:A16">(1/N6)*MMULT(_xlfn.ANCHORARRAY(I5),C5:C7)</f>
        <v>0.10043668122270745</v>
      </c>
      <c r="C14" cm="1">
        <f t="array" ref="C14">MMULT(TRANSPOSE(A5:A7),_xlfn.ANCHORARRAY(A14))</f>
        <v>0.17183406113537114</v>
      </c>
      <c r="D14" cm="1">
        <f t="array" ref="D14">MMULT(TRANSPOSE(_xlfn.ANCHORARRAY(A14)),MMULT(E5:G7,_xlfn.ANCHORARRAY(A14)))</f>
        <v>7.1921397379912641E-2</v>
      </c>
      <c r="E14">
        <f>SQRT(D14)</f>
        <v>0.26818164996865956</v>
      </c>
      <c r="K14" t="s">
        <v>140</v>
      </c>
      <c r="L14" cm="1">
        <f t="array" ref="L14:L16">1/E33*MMULT(E5:G7,_xlfn.ANCHORARRAY(C33))</f>
        <v>1.4294143534742711</v>
      </c>
      <c r="N14" t="s">
        <v>140</v>
      </c>
      <c r="O14">
        <f>C40+L14*(G33-C40)</f>
        <v>0.29999999999999993</v>
      </c>
      <c r="W14" s="8"/>
      <c r="X14" s="8"/>
      <c r="Y14" s="8"/>
      <c r="Z14" s="8"/>
      <c r="AA14" s="8"/>
    </row>
    <row r="15" spans="1:27" x14ac:dyDescent="0.2">
      <c r="A15">
        <v>0.13537117903930121</v>
      </c>
      <c r="K15" t="s">
        <v>141</v>
      </c>
      <c r="L15">
        <v>0.90000162996528166</v>
      </c>
      <c r="N15" t="s">
        <v>141</v>
      </c>
      <c r="O15">
        <f>C40+L15*(G33-C40)</f>
        <v>0.19999999999999996</v>
      </c>
      <c r="W15" s="8"/>
      <c r="X15" s="8"/>
      <c r="Y15" s="8"/>
      <c r="Z15" s="8"/>
      <c r="AA15" s="8"/>
    </row>
    <row r="16" spans="1:27" x14ac:dyDescent="0.2">
      <c r="A16">
        <v>0.76419213973799116</v>
      </c>
      <c r="K16" t="s">
        <v>142</v>
      </c>
      <c r="L16">
        <v>0.63529526821078719</v>
      </c>
      <c r="N16" t="s">
        <v>142</v>
      </c>
      <c r="O16">
        <f>C40+L16*(G33-C40)</f>
        <v>0.15</v>
      </c>
      <c r="W16" s="8"/>
      <c r="X16" s="8"/>
      <c r="Y16" s="8"/>
      <c r="Z16" s="8"/>
      <c r="AA16" s="8"/>
    </row>
    <row r="17" spans="1:27" x14ac:dyDescent="0.2">
      <c r="W17" s="8"/>
      <c r="X17" s="8"/>
      <c r="Y17" s="8"/>
      <c r="Z17" s="8"/>
      <c r="AA17" s="8"/>
    </row>
    <row r="18" spans="1:27" x14ac:dyDescent="0.2">
      <c r="K18" t="s">
        <v>136</v>
      </c>
      <c r="L18" t="s">
        <v>137</v>
      </c>
      <c r="M18" t="s">
        <v>120</v>
      </c>
      <c r="N18" t="s">
        <v>125</v>
      </c>
      <c r="O18" t="s">
        <v>138</v>
      </c>
      <c r="P18" t="s">
        <v>139</v>
      </c>
      <c r="W18" s="8"/>
      <c r="X18" s="8"/>
      <c r="Y18" s="8"/>
      <c r="Z18" s="8"/>
      <c r="AA18" s="8"/>
    </row>
    <row r="19" spans="1:27" x14ac:dyDescent="0.2">
      <c r="W19" s="8"/>
      <c r="X19" s="8"/>
      <c r="Y19" s="8"/>
      <c r="Z19" s="8"/>
      <c r="AA19" s="8"/>
    </row>
    <row r="20" spans="1:27" x14ac:dyDescent="0.2">
      <c r="W20" s="8"/>
      <c r="X20" s="8"/>
      <c r="Y20" s="8"/>
      <c r="Z20" s="8"/>
      <c r="AA20" s="8"/>
    </row>
    <row r="21" spans="1:27" x14ac:dyDescent="0.2">
      <c r="A21" s="10" t="s">
        <v>104</v>
      </c>
      <c r="B21" s="10"/>
      <c r="C21" s="10"/>
      <c r="D21" s="10"/>
      <c r="E21" s="10"/>
      <c r="F21" s="10"/>
      <c r="G21" s="10"/>
      <c r="K21" t="s">
        <v>131</v>
      </c>
      <c r="W21" s="8"/>
      <c r="X21" s="8"/>
      <c r="Y21" s="8"/>
      <c r="Z21" s="8"/>
      <c r="AA21" s="8"/>
    </row>
    <row r="22" spans="1:27" x14ac:dyDescent="0.2">
      <c r="A22" t="s">
        <v>194</v>
      </c>
      <c r="C22" t="s">
        <v>195</v>
      </c>
      <c r="E22" t="s">
        <v>196</v>
      </c>
      <c r="F22" t="s">
        <v>119</v>
      </c>
      <c r="K22" t="s">
        <v>132</v>
      </c>
      <c r="M22" t="s">
        <v>133</v>
      </c>
      <c r="O22" t="s">
        <v>134</v>
      </c>
      <c r="W22" s="8"/>
      <c r="X22" s="8"/>
      <c r="Y22" s="8"/>
      <c r="Z22" s="8"/>
      <c r="AA22" s="8"/>
    </row>
    <row r="23" spans="1:27" x14ac:dyDescent="0.2">
      <c r="A23">
        <v>0.15</v>
      </c>
      <c r="C23" cm="1">
        <f t="array" ref="C23:C25">(N6*A23-O6)/Q6*MMULT(_xlfn.ANCHORARRAY(I5),A5:A7)+(P6-A23*O6)/Q6*MMULT(_xlfn.ANCHORARRAY(I5),C5:C7)</f>
        <v>-5.8823529411764469E-2</v>
      </c>
      <c r="E23" cm="1">
        <f t="array" ref="E23">MMULT(TRANSPOSE(_xlfn.ANCHORARRAY(C23)),MMULT(E5:G7,_xlfn.ANCHORARRAY(C23)))</f>
        <v>7.7058823529411818E-2</v>
      </c>
      <c r="F23">
        <f>SQRT(E23)</f>
        <v>0.27759471091757459</v>
      </c>
    </row>
    <row r="24" spans="1:27" x14ac:dyDescent="0.2">
      <c r="C24">
        <v>0.17647058823529399</v>
      </c>
    </row>
    <row r="25" spans="1:27" x14ac:dyDescent="0.2">
      <c r="C25">
        <v>0.8823529411764709</v>
      </c>
    </row>
    <row r="30" spans="1:27" x14ac:dyDescent="0.2">
      <c r="A30" s="10" t="s">
        <v>105</v>
      </c>
      <c r="B30" s="10"/>
      <c r="C30" s="10"/>
      <c r="D30" s="10"/>
      <c r="E30" s="10"/>
      <c r="F30" s="10"/>
      <c r="G30" s="10"/>
    </row>
    <row r="32" spans="1:27" x14ac:dyDescent="0.2">
      <c r="A32" t="s">
        <v>120</v>
      </c>
      <c r="C32" t="s">
        <v>121</v>
      </c>
      <c r="E32" t="s">
        <v>109</v>
      </c>
      <c r="F32" t="s">
        <v>110</v>
      </c>
      <c r="G32" t="s">
        <v>126</v>
      </c>
    </row>
    <row r="33" spans="1:11" x14ac:dyDescent="0.2">
      <c r="A33">
        <v>0.03</v>
      </c>
      <c r="C33" cm="1">
        <f t="array" ref="C33:C35">MMULT(_xlfn.ANCHORARRAY(I5),(A5:A7-C5:C7*A33))/(MMULT(MMULT(TRANSPOSE(C5:C7),_xlfn.ANCHORARRAY(I5)),(A5:A7-C5:C7*A33)))</f>
        <v>0.44365763546798032</v>
      </c>
      <c r="E33" cm="1">
        <f t="array" ref="E33">MMULT(TRANSPOSE(_xlfn.ANCHORARRAY(C33)),MMULT(E5:G7,_xlfn.ANCHORARRAY(C33)))</f>
        <v>9.5781846236562398E-2</v>
      </c>
      <c r="F33">
        <f>SQRT(E33)</f>
        <v>0.30948642334771714</v>
      </c>
      <c r="G33" cm="1">
        <f t="array" ref="G33">MMULT(TRANSPOSE(A5:A7),_xlfn.ANCHORARRAY(C33))</f>
        <v>0.21888854679802952</v>
      </c>
    </row>
    <row r="34" spans="1:11" x14ac:dyDescent="0.2">
      <c r="C34">
        <v>4.6798029556650217E-2</v>
      </c>
    </row>
    <row r="35" spans="1:11" x14ac:dyDescent="0.2">
      <c r="C35">
        <v>0.50954433497536944</v>
      </c>
      <c r="E35" t="s">
        <v>130</v>
      </c>
      <c r="K35" cm="1">
        <f t="array" ref="K35:K37">MMULT(_xlfn.ANCHORARRAY(I5),A5:A7)+(P6-A23*O6)</f>
        <v>1.0617789921068608</v>
      </c>
    </row>
    <row r="36" spans="1:11" x14ac:dyDescent="0.2">
      <c r="E36">
        <f>(G33-A33)/F33</f>
        <v>0.61032902430685188</v>
      </c>
      <c r="K36">
        <v>0.29371584699453562</v>
      </c>
    </row>
    <row r="37" spans="1:11" x14ac:dyDescent="0.2">
      <c r="K37">
        <v>1.4685792349726776</v>
      </c>
    </row>
    <row r="38" spans="1:11" x14ac:dyDescent="0.2">
      <c r="A38" t="s">
        <v>122</v>
      </c>
    </row>
    <row r="39" spans="1:11" x14ac:dyDescent="0.2">
      <c r="A39" t="s">
        <v>123</v>
      </c>
      <c r="B39" t="s">
        <v>67</v>
      </c>
      <c r="C39" t="s">
        <v>124</v>
      </c>
      <c r="D39" t="s">
        <v>125</v>
      </c>
      <c r="E39" t="s">
        <v>127</v>
      </c>
      <c r="F39" t="s">
        <v>128</v>
      </c>
      <c r="G39" t="s">
        <v>129</v>
      </c>
    </row>
    <row r="40" spans="1:11" x14ac:dyDescent="0.2">
      <c r="A40" t="s">
        <v>123</v>
      </c>
      <c r="B40" t="s">
        <v>67</v>
      </c>
      <c r="C40">
        <f>A33</f>
        <v>0.03</v>
      </c>
      <c r="D40" t="s">
        <v>125</v>
      </c>
      <c r="E40">
        <f>E36</f>
        <v>0.61032902430685188</v>
      </c>
      <c r="F40" t="s">
        <v>128</v>
      </c>
      <c r="G40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B757-534A-0241-B3FD-B933BAC2313D}">
  <dimension ref="A2:AE34"/>
  <sheetViews>
    <sheetView topLeftCell="B1" zoomScale="85" workbookViewId="0">
      <selection activeCell="F33" sqref="F33"/>
    </sheetView>
  </sheetViews>
  <sheetFormatPr baseColWidth="10" defaultRowHeight="16" x14ac:dyDescent="0.2"/>
  <cols>
    <col min="3" max="5" width="12.1640625" bestFit="1" customWidth="1"/>
    <col min="6" max="6" width="13.1640625" bestFit="1" customWidth="1"/>
    <col min="7" max="12" width="11.1640625" bestFit="1" customWidth="1"/>
    <col min="15" max="15" width="11.1640625" bestFit="1" customWidth="1"/>
    <col min="18" max="18" width="12.1640625" bestFit="1" customWidth="1"/>
    <col min="19" max="19" width="11.1640625" bestFit="1" customWidth="1"/>
    <col min="20" max="20" width="13.1640625" bestFit="1" customWidth="1"/>
    <col min="21" max="21" width="12.1640625" bestFit="1" customWidth="1"/>
    <col min="22" max="27" width="11.1640625" bestFit="1" customWidth="1"/>
    <col min="30" max="30" width="11" bestFit="1" customWidth="1"/>
  </cols>
  <sheetData>
    <row r="2" spans="1:3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spans="1:3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">
      <c r="A4" s="23"/>
      <c r="B4" s="24" t="s">
        <v>199</v>
      </c>
      <c r="C4" s="25"/>
      <c r="D4" s="25"/>
      <c r="E4" s="25"/>
      <c r="F4" s="25"/>
      <c r="G4" s="25"/>
      <c r="H4" s="25"/>
      <c r="I4" s="25"/>
      <c r="J4" s="25"/>
      <c r="K4" s="25"/>
      <c r="L4" s="26"/>
      <c r="M4" s="23"/>
      <c r="N4" s="24" t="s">
        <v>200</v>
      </c>
      <c r="O4" s="26"/>
      <c r="P4" s="23"/>
      <c r="Q4" s="23" t="s">
        <v>201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">
      <c r="A5" s="23"/>
      <c r="B5" s="27" t="s">
        <v>202</v>
      </c>
      <c r="C5" s="28">
        <v>99.51</v>
      </c>
      <c r="D5" s="23"/>
      <c r="E5" s="23"/>
      <c r="F5" s="23"/>
      <c r="G5" s="23"/>
      <c r="H5" s="23"/>
      <c r="I5" s="23"/>
      <c r="J5" s="23"/>
      <c r="K5" s="23"/>
      <c r="L5" s="29"/>
      <c r="M5" s="23"/>
      <c r="N5" s="27" t="s">
        <v>203</v>
      </c>
      <c r="O5" s="29">
        <f>(1/C5)*(1/(1+C6))*SUM(C9:L9)</f>
        <v>0.97558825583885833</v>
      </c>
      <c r="P5" s="23"/>
      <c r="Q5" s="24" t="s">
        <v>199</v>
      </c>
      <c r="R5" s="25"/>
      <c r="S5" s="25"/>
      <c r="T5" s="25"/>
      <c r="U5" s="25"/>
      <c r="V5" s="25"/>
      <c r="W5" s="25"/>
      <c r="X5" s="25"/>
      <c r="Y5" s="25"/>
      <c r="Z5" s="25"/>
      <c r="AA5" s="26"/>
      <c r="AB5" s="23"/>
      <c r="AC5" s="24" t="s">
        <v>200</v>
      </c>
      <c r="AD5" s="26"/>
      <c r="AE5" s="23"/>
    </row>
    <row r="6" spans="1:31" x14ac:dyDescent="0.2">
      <c r="A6" s="23"/>
      <c r="B6" s="27" t="s">
        <v>204</v>
      </c>
      <c r="C6" s="28">
        <v>2.5022599999999999E-2</v>
      </c>
      <c r="D6" s="23"/>
      <c r="E6" s="23"/>
      <c r="F6" s="23"/>
      <c r="G6" s="23"/>
      <c r="H6" s="23"/>
      <c r="I6" s="23"/>
      <c r="J6" s="23"/>
      <c r="K6" s="23"/>
      <c r="L6" s="29"/>
      <c r="M6" s="23"/>
      <c r="N6" s="27" t="s">
        <v>205</v>
      </c>
      <c r="O6" s="29">
        <f>(1+C6)*O5</f>
        <v>1.0000000105294118</v>
      </c>
      <c r="P6" s="23"/>
      <c r="Q6" s="27" t="s">
        <v>202</v>
      </c>
      <c r="R6" s="28">
        <v>100</v>
      </c>
      <c r="S6" s="23"/>
      <c r="T6" s="23"/>
      <c r="U6" s="23"/>
      <c r="V6" s="23"/>
      <c r="W6" s="23"/>
      <c r="X6" s="23"/>
      <c r="Y6" s="23"/>
      <c r="Z6" s="23"/>
      <c r="AA6" s="29"/>
      <c r="AB6" s="23"/>
      <c r="AC6" s="27" t="s">
        <v>203</v>
      </c>
      <c r="AD6" s="29">
        <f>(1/R6)*(1/(1+R7))*SUM(R10:AA10)</f>
        <v>2.7750910332271275</v>
      </c>
      <c r="AE6" s="23"/>
    </row>
    <row r="7" spans="1:31" x14ac:dyDescent="0.2">
      <c r="A7" s="23"/>
      <c r="B7" s="27" t="s">
        <v>206</v>
      </c>
      <c r="C7" s="23">
        <v>1</v>
      </c>
      <c r="D7" s="23">
        <v>2</v>
      </c>
      <c r="E7" s="23">
        <v>3</v>
      </c>
      <c r="F7" s="23">
        <v>4</v>
      </c>
      <c r="G7" s="23">
        <v>5</v>
      </c>
      <c r="H7" s="23">
        <v>6</v>
      </c>
      <c r="I7" s="23">
        <v>7</v>
      </c>
      <c r="J7" s="23">
        <v>8</v>
      </c>
      <c r="K7" s="23">
        <v>9</v>
      </c>
      <c r="L7" s="29">
        <v>10</v>
      </c>
      <c r="M7" s="23"/>
      <c r="N7" s="30" t="s">
        <v>207</v>
      </c>
      <c r="O7" s="31">
        <f>(1/(C5*((1+C6)^2)))*SUM(C10:L10)</f>
        <v>1.9035448698182036</v>
      </c>
      <c r="P7" s="23"/>
      <c r="Q7" s="27" t="s">
        <v>204</v>
      </c>
      <c r="R7" s="28">
        <v>0.04</v>
      </c>
      <c r="S7" s="23"/>
      <c r="T7" s="23"/>
      <c r="U7" s="23"/>
      <c r="V7" s="23"/>
      <c r="W7" s="23"/>
      <c r="X7" s="23"/>
      <c r="Y7" s="23"/>
      <c r="Z7" s="23"/>
      <c r="AA7" s="29"/>
      <c r="AB7" s="23"/>
      <c r="AC7" s="27" t="s">
        <v>205</v>
      </c>
      <c r="AD7" s="29">
        <f>(1+R7)*AD6</f>
        <v>2.8860946745562126</v>
      </c>
      <c r="AE7" s="23"/>
    </row>
    <row r="8" spans="1:31" x14ac:dyDescent="0.2">
      <c r="A8" s="23"/>
      <c r="B8" s="27" t="s">
        <v>208</v>
      </c>
      <c r="C8" s="28">
        <v>102</v>
      </c>
      <c r="D8" s="28"/>
      <c r="E8" s="28"/>
      <c r="F8" s="28"/>
      <c r="G8" s="28"/>
      <c r="H8" s="28"/>
      <c r="I8" s="28"/>
      <c r="J8" s="28"/>
      <c r="K8" s="28"/>
      <c r="L8" s="32"/>
      <c r="M8" s="23"/>
      <c r="N8" s="23"/>
      <c r="O8" s="23"/>
      <c r="P8" s="23"/>
      <c r="Q8" s="27" t="s">
        <v>206</v>
      </c>
      <c r="R8" s="23">
        <v>1</v>
      </c>
      <c r="S8" s="23">
        <v>2</v>
      </c>
      <c r="T8" s="23">
        <v>3</v>
      </c>
      <c r="U8" s="23">
        <v>4</v>
      </c>
      <c r="V8" s="23">
        <v>5</v>
      </c>
      <c r="W8" s="23">
        <v>6</v>
      </c>
      <c r="X8" s="23">
        <v>7</v>
      </c>
      <c r="Y8" s="23">
        <v>8</v>
      </c>
      <c r="Z8" s="23">
        <v>9</v>
      </c>
      <c r="AA8" s="29">
        <v>10</v>
      </c>
      <c r="AB8" s="23"/>
      <c r="AC8" s="30" t="s">
        <v>207</v>
      </c>
      <c r="AD8" s="31">
        <f>(1/(R6*((1+R7)^2)))*SUM(R11:AA11)</f>
        <v>10.533923006897515</v>
      </c>
      <c r="AE8" s="23"/>
    </row>
    <row r="9" spans="1:31" x14ac:dyDescent="0.2">
      <c r="A9" s="23"/>
      <c r="B9" s="27" t="s">
        <v>209</v>
      </c>
      <c r="C9" s="23">
        <f>C7*C8/((1+$C$6)^C7)</f>
        <v>99.51000104778177</v>
      </c>
      <c r="D9" s="23">
        <f t="shared" ref="D9:L9" si="0">D7*D8/((1+$C$6)^D7)</f>
        <v>0</v>
      </c>
      <c r="E9" s="23">
        <f t="shared" si="0"/>
        <v>0</v>
      </c>
      <c r="F9" s="23">
        <f t="shared" si="0"/>
        <v>0</v>
      </c>
      <c r="G9" s="23">
        <f t="shared" si="0"/>
        <v>0</v>
      </c>
      <c r="H9" s="23">
        <f t="shared" si="0"/>
        <v>0</v>
      </c>
      <c r="I9" s="23">
        <f t="shared" si="0"/>
        <v>0</v>
      </c>
      <c r="J9" s="23">
        <f t="shared" si="0"/>
        <v>0</v>
      </c>
      <c r="K9" s="23">
        <f t="shared" si="0"/>
        <v>0</v>
      </c>
      <c r="L9" s="23">
        <f t="shared" si="0"/>
        <v>0</v>
      </c>
      <c r="M9" s="23"/>
      <c r="N9" s="23"/>
      <c r="O9" s="23"/>
      <c r="P9" s="23"/>
      <c r="Q9" s="27" t="s">
        <v>208</v>
      </c>
      <c r="R9" s="28">
        <v>4</v>
      </c>
      <c r="S9" s="28">
        <v>4</v>
      </c>
      <c r="T9" s="28">
        <v>104</v>
      </c>
      <c r="U9" s="28"/>
      <c r="V9" s="28"/>
      <c r="W9" s="28"/>
      <c r="X9" s="28"/>
      <c r="Y9" s="28"/>
      <c r="Z9" s="28"/>
      <c r="AA9" s="32"/>
      <c r="AB9" s="23"/>
      <c r="AC9" s="23"/>
      <c r="AD9" s="23"/>
      <c r="AE9" s="23"/>
    </row>
    <row r="10" spans="1:31" x14ac:dyDescent="0.2">
      <c r="A10" s="23"/>
      <c r="B10" s="30" t="s">
        <v>209</v>
      </c>
      <c r="C10" s="33">
        <f>(C7*(C7+1)*C8/((1+$C$6)^C7))</f>
        <v>199.02000209556354</v>
      </c>
      <c r="D10" s="33">
        <f t="shared" ref="D10:L10" si="1">(D7*(D7+1)*D8/((1+$C$6)^D7))</f>
        <v>0</v>
      </c>
      <c r="E10" s="33">
        <f t="shared" si="1"/>
        <v>0</v>
      </c>
      <c r="F10" s="33">
        <f t="shared" si="1"/>
        <v>0</v>
      </c>
      <c r="G10" s="33">
        <f t="shared" si="1"/>
        <v>0</v>
      </c>
      <c r="H10" s="33">
        <f t="shared" si="1"/>
        <v>0</v>
      </c>
      <c r="I10" s="33">
        <f t="shared" si="1"/>
        <v>0</v>
      </c>
      <c r="J10" s="33">
        <f t="shared" si="1"/>
        <v>0</v>
      </c>
      <c r="K10" s="33">
        <f t="shared" si="1"/>
        <v>0</v>
      </c>
      <c r="L10" s="33">
        <f t="shared" si="1"/>
        <v>0</v>
      </c>
      <c r="M10" s="23"/>
      <c r="N10" s="23"/>
      <c r="O10" s="23"/>
      <c r="P10" s="23"/>
      <c r="Q10" s="27" t="s">
        <v>209</v>
      </c>
      <c r="R10" s="23">
        <f>R8*R9/((1+$R$7)^R8)</f>
        <v>3.8461538461538458</v>
      </c>
      <c r="S10" s="23">
        <f t="shared" ref="S10:AA10" si="2">S8*S9/((1+$R$7)^S8)</f>
        <v>7.396449704142011</v>
      </c>
      <c r="T10" s="23">
        <f t="shared" si="2"/>
        <v>277.36686390532543</v>
      </c>
      <c r="U10" s="23">
        <f t="shared" si="2"/>
        <v>0</v>
      </c>
      <c r="V10" s="23">
        <f t="shared" si="2"/>
        <v>0</v>
      </c>
      <c r="W10" s="23">
        <f t="shared" si="2"/>
        <v>0</v>
      </c>
      <c r="X10" s="23">
        <f t="shared" si="2"/>
        <v>0</v>
      </c>
      <c r="Y10" s="23">
        <f t="shared" si="2"/>
        <v>0</v>
      </c>
      <c r="Z10" s="23">
        <f t="shared" si="2"/>
        <v>0</v>
      </c>
      <c r="AA10" s="23">
        <f t="shared" si="2"/>
        <v>0</v>
      </c>
      <c r="AB10" s="23"/>
      <c r="AC10" s="23"/>
      <c r="AD10" s="23"/>
      <c r="AE10" s="23"/>
    </row>
    <row r="11" spans="1:31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30" t="s">
        <v>209</v>
      </c>
      <c r="R11" s="33">
        <f>(R8*(R8+1)*R9/((1+$R$7)^R8))</f>
        <v>7.6923076923076916</v>
      </c>
      <c r="S11" s="33">
        <f t="shared" ref="S11:AA11" si="3">(S8*(S8+1)*S9/((1+$R$7)^S8))</f>
        <v>22.189349112426033</v>
      </c>
      <c r="T11" s="33">
        <f t="shared" si="3"/>
        <v>1109.4674556213017</v>
      </c>
      <c r="U11" s="33">
        <f t="shared" si="3"/>
        <v>0</v>
      </c>
      <c r="V11" s="33">
        <f t="shared" si="3"/>
        <v>0</v>
      </c>
      <c r="W11" s="33">
        <f t="shared" si="3"/>
        <v>0</v>
      </c>
      <c r="X11" s="33">
        <f t="shared" si="3"/>
        <v>0</v>
      </c>
      <c r="Y11" s="33">
        <f t="shared" si="3"/>
        <v>0</v>
      </c>
      <c r="Z11" s="33">
        <f t="shared" si="3"/>
        <v>0</v>
      </c>
      <c r="AA11" s="33">
        <f t="shared" si="3"/>
        <v>0</v>
      </c>
      <c r="AB11" s="23"/>
      <c r="AC11" s="23"/>
      <c r="AD11" s="23"/>
      <c r="AE11" s="23"/>
    </row>
    <row r="12" spans="1:3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 spans="1:31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 spans="1:31" x14ac:dyDescent="0.2">
      <c r="A14" s="23"/>
      <c r="B14" s="24" t="s">
        <v>199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  <c r="M14" s="23"/>
      <c r="N14" s="24" t="s">
        <v>200</v>
      </c>
      <c r="O14" s="26"/>
      <c r="P14" s="23"/>
      <c r="Q14" s="23"/>
      <c r="R14" s="23" t="s">
        <v>210</v>
      </c>
      <c r="S14" s="23"/>
      <c r="T14" s="23" t="s">
        <v>211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 spans="1:31" x14ac:dyDescent="0.2">
      <c r="A15" s="23"/>
      <c r="B15" s="27" t="s">
        <v>202</v>
      </c>
      <c r="C15" s="28">
        <v>94.26</v>
      </c>
      <c r="D15" s="23"/>
      <c r="E15" s="23"/>
      <c r="F15" s="23"/>
      <c r="G15" s="23"/>
      <c r="H15" s="23"/>
      <c r="I15" s="23"/>
      <c r="J15" s="23"/>
      <c r="K15" s="23"/>
      <c r="L15" s="29"/>
      <c r="M15" s="23"/>
      <c r="N15" s="27" t="s">
        <v>203</v>
      </c>
      <c r="O15" s="29">
        <f>(1/C15)*(1/(1+C16))*SUM(C19:L19)</f>
        <v>1.9417515879327938</v>
      </c>
      <c r="P15" s="23"/>
      <c r="Q15" s="23"/>
      <c r="R15" s="23" t="s">
        <v>212</v>
      </c>
      <c r="S15" s="23">
        <v>-0.29599999999999999</v>
      </c>
      <c r="T15" s="23" t="s">
        <v>213</v>
      </c>
      <c r="U15" s="23">
        <f>S15*C5+S16*C15+S17*C24</f>
        <v>103.521278505</v>
      </c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">
      <c r="A16" s="23"/>
      <c r="B16" s="27" t="s">
        <v>204</v>
      </c>
      <c r="C16" s="28">
        <v>2.9997800000000002E-2</v>
      </c>
      <c r="D16" s="23"/>
      <c r="E16" s="23"/>
      <c r="F16" s="23"/>
      <c r="G16" s="23"/>
      <c r="H16" s="23"/>
      <c r="I16" s="23"/>
      <c r="J16" s="23"/>
      <c r="K16" s="23"/>
      <c r="L16" s="29"/>
      <c r="M16" s="23"/>
      <c r="N16" s="27" t="s">
        <v>205</v>
      </c>
      <c r="O16" s="29">
        <f>(1+C16)*O15</f>
        <v>1.9999998637172842</v>
      </c>
      <c r="P16" s="23"/>
      <c r="Q16" s="23"/>
      <c r="R16" s="23" t="s">
        <v>214</v>
      </c>
      <c r="S16" s="23">
        <v>1.0097</v>
      </c>
      <c r="T16" s="23" t="s">
        <v>215</v>
      </c>
      <c r="U16" s="23">
        <f>S15*C5/U15*O5+S16*C15/U15*O15+S17*C24/U15*O24</f>
        <v>2.5198725467458907</v>
      </c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">
      <c r="A17" s="23"/>
      <c r="B17" s="27" t="s">
        <v>206</v>
      </c>
      <c r="C17" s="23">
        <v>1</v>
      </c>
      <c r="D17" s="23">
        <v>2</v>
      </c>
      <c r="E17" s="23">
        <v>3</v>
      </c>
      <c r="F17" s="23">
        <v>4</v>
      </c>
      <c r="G17" s="23">
        <v>5</v>
      </c>
      <c r="H17" s="23">
        <v>6</v>
      </c>
      <c r="I17" s="23">
        <v>7</v>
      </c>
      <c r="J17" s="23">
        <v>8</v>
      </c>
      <c r="K17" s="23">
        <v>9</v>
      </c>
      <c r="L17" s="29">
        <v>10</v>
      </c>
      <c r="M17" s="23"/>
      <c r="N17" s="30" t="s">
        <v>207</v>
      </c>
      <c r="O17" s="31">
        <f>(1/(C15*((1+C16)^2)))*SUM(C20:L20)</f>
        <v>5.6555992292395008</v>
      </c>
      <c r="P17" s="23"/>
      <c r="Q17" s="23"/>
      <c r="R17" s="23" t="s">
        <v>216</v>
      </c>
      <c r="S17" s="23">
        <v>0.3605333</v>
      </c>
      <c r="T17" s="23" t="s">
        <v>217</v>
      </c>
      <c r="U17" s="23">
        <f>S15*C5/U15*O7+S16*C15/U15*O17+S17*C24/U15*O26</f>
        <v>8.5163683366954857</v>
      </c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">
      <c r="A18" s="23"/>
      <c r="B18" s="27" t="s">
        <v>208</v>
      </c>
      <c r="C18" s="28"/>
      <c r="D18" s="28">
        <v>100</v>
      </c>
      <c r="E18" s="28"/>
      <c r="F18" s="28"/>
      <c r="G18" s="28"/>
      <c r="H18" s="28"/>
      <c r="I18" s="28"/>
      <c r="J18" s="28"/>
      <c r="K18" s="28"/>
      <c r="L18" s="32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">
      <c r="A19" s="23"/>
      <c r="B19" s="27" t="s">
        <v>209</v>
      </c>
      <c r="C19" s="23">
        <f>C17*C18/((1+$C$16)^C17)</f>
        <v>0</v>
      </c>
      <c r="D19" s="23">
        <f t="shared" ref="D19:L19" si="4">D17*D18/((1+$C$16)^D17)</f>
        <v>188.51998715399125</v>
      </c>
      <c r="E19" s="23">
        <f t="shared" si="4"/>
        <v>0</v>
      </c>
      <c r="F19" s="23">
        <f t="shared" si="4"/>
        <v>0</v>
      </c>
      <c r="G19" s="23">
        <f t="shared" si="4"/>
        <v>0</v>
      </c>
      <c r="H19" s="23">
        <f t="shared" si="4"/>
        <v>0</v>
      </c>
      <c r="I19" s="23">
        <f t="shared" si="4"/>
        <v>0</v>
      </c>
      <c r="J19" s="23">
        <f t="shared" si="4"/>
        <v>0</v>
      </c>
      <c r="K19" s="23">
        <f t="shared" si="4"/>
        <v>0</v>
      </c>
      <c r="L19" s="23">
        <f t="shared" si="4"/>
        <v>0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">
      <c r="A20" s="23"/>
      <c r="B20" s="30" t="s">
        <v>209</v>
      </c>
      <c r="C20" s="33">
        <f>(C17*(C17+1)*C18/((1+$C$16)^C17))</f>
        <v>0</v>
      </c>
      <c r="D20" s="33">
        <f>(D17*(D17+1)*D18/((1+$C$16)^D17))</f>
        <v>565.55996146197378</v>
      </c>
      <c r="E20" s="33">
        <f t="shared" ref="E20:L20" si="5">(E17*(E17+1)*E18/((1+$C$16)^E17))</f>
        <v>0</v>
      </c>
      <c r="F20" s="33">
        <f t="shared" si="5"/>
        <v>0</v>
      </c>
      <c r="G20" s="33">
        <f t="shared" si="5"/>
        <v>0</v>
      </c>
      <c r="H20" s="33">
        <f t="shared" si="5"/>
        <v>0</v>
      </c>
      <c r="I20" s="33">
        <f t="shared" si="5"/>
        <v>0</v>
      </c>
      <c r="J20" s="33">
        <f t="shared" si="5"/>
        <v>0</v>
      </c>
      <c r="K20" s="33">
        <f t="shared" si="5"/>
        <v>0</v>
      </c>
      <c r="L20" s="33">
        <f t="shared" si="5"/>
        <v>0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x14ac:dyDescent="0.2">
      <c r="A23" s="23"/>
      <c r="B23" s="24" t="s">
        <v>199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  <c r="M23" s="23"/>
      <c r="N23" s="24" t="s">
        <v>200</v>
      </c>
      <c r="O23" s="26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x14ac:dyDescent="0.2">
      <c r="A24" s="23"/>
      <c r="B24" s="27" t="s">
        <v>202</v>
      </c>
      <c r="C24" s="28">
        <v>104.85</v>
      </c>
      <c r="D24" s="23"/>
      <c r="E24" s="23"/>
      <c r="F24" s="23"/>
      <c r="G24" s="23"/>
      <c r="H24" s="23"/>
      <c r="I24" s="23"/>
      <c r="J24" s="23"/>
      <c r="K24" s="23"/>
      <c r="L24" s="29"/>
      <c r="M24" s="23"/>
      <c r="N24" s="27" t="s">
        <v>203</v>
      </c>
      <c r="O24" s="29">
        <f>(1/C24)*(1/(1+C25))*SUM(C28:L28)</f>
        <v>2.7721200292371604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">
      <c r="A25" s="23"/>
      <c r="B25" s="27" t="s">
        <v>204</v>
      </c>
      <c r="C25" s="28">
        <v>3.2762600000000003E-2</v>
      </c>
      <c r="D25" s="23"/>
      <c r="E25" s="23"/>
      <c r="F25" s="23"/>
      <c r="G25" s="23"/>
      <c r="H25" s="23"/>
      <c r="I25" s="23"/>
      <c r="J25" s="23"/>
      <c r="K25" s="23"/>
      <c r="L25" s="29"/>
      <c r="M25" s="23"/>
      <c r="N25" s="27" t="s">
        <v>205</v>
      </c>
      <c r="O25" s="29">
        <f>(1+C25)*O24</f>
        <v>2.8629418889070459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spans="1:31" x14ac:dyDescent="0.2">
      <c r="A26" s="23"/>
      <c r="B26" s="27" t="s">
        <v>206</v>
      </c>
      <c r="C26" s="23">
        <v>1</v>
      </c>
      <c r="D26" s="23">
        <v>2</v>
      </c>
      <c r="E26" s="23">
        <v>3</v>
      </c>
      <c r="F26" s="23">
        <v>4</v>
      </c>
      <c r="G26" s="23">
        <v>5</v>
      </c>
      <c r="H26" s="23">
        <v>6</v>
      </c>
      <c r="I26" s="23">
        <v>7</v>
      </c>
      <c r="J26" s="23">
        <v>8</v>
      </c>
      <c r="K26" s="23">
        <v>9</v>
      </c>
      <c r="L26" s="29">
        <v>10</v>
      </c>
      <c r="M26" s="23"/>
      <c r="N26" s="30" t="s">
        <v>207</v>
      </c>
      <c r="O26" s="31">
        <f>(1/(C24*((1+C25)^2)))*SUM(C29:L29)</f>
        <v>10.566299045538969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spans="1:31" x14ac:dyDescent="0.2">
      <c r="A27" s="23"/>
      <c r="B27" s="27" t="s">
        <v>208</v>
      </c>
      <c r="C27" s="28">
        <v>5</v>
      </c>
      <c r="D27" s="28">
        <v>5</v>
      </c>
      <c r="E27" s="28">
        <v>105</v>
      </c>
      <c r="F27" s="28"/>
      <c r="G27" s="28"/>
      <c r="H27" s="28"/>
      <c r="I27" s="28"/>
      <c r="J27" s="28"/>
      <c r="K27" s="28"/>
      <c r="L27" s="32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spans="1:31" x14ac:dyDescent="0.2">
      <c r="A28" s="23"/>
      <c r="B28" s="27" t="s">
        <v>209</v>
      </c>
      <c r="C28" s="23">
        <f>C26*C27/((1+$C$25)^C26)</f>
        <v>4.8413836829490142</v>
      </c>
      <c r="D28" s="23">
        <f t="shared" ref="D28:L28" si="6">D26*D27/((1+$C$25)^D26)</f>
        <v>9.3755983862099832</v>
      </c>
      <c r="E28" s="23">
        <f>E26*E27/((1+$C$25)^E26)</f>
        <v>285.96247498274477</v>
      </c>
      <c r="F28" s="23">
        <f t="shared" si="6"/>
        <v>0</v>
      </c>
      <c r="G28" s="23">
        <f t="shared" si="6"/>
        <v>0</v>
      </c>
      <c r="H28" s="23">
        <f t="shared" si="6"/>
        <v>0</v>
      </c>
      <c r="I28" s="23">
        <f t="shared" si="6"/>
        <v>0</v>
      </c>
      <c r="J28" s="23">
        <f t="shared" si="6"/>
        <v>0</v>
      </c>
      <c r="K28" s="23">
        <f t="shared" si="6"/>
        <v>0</v>
      </c>
      <c r="L28" s="23">
        <f t="shared" si="6"/>
        <v>0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spans="1:31" x14ac:dyDescent="0.2">
      <c r="A29" s="23"/>
      <c r="B29" s="30" t="s">
        <v>209</v>
      </c>
      <c r="C29" s="33">
        <f>(C26*(C26+1)*C27/((1+$C$25)^C26))</f>
        <v>9.6827673658980284</v>
      </c>
      <c r="D29" s="33">
        <f t="shared" ref="D29:K29" si="7">(D26*(D26+1)*D27/((1+$C$25)^D26))</f>
        <v>28.12679515862995</v>
      </c>
      <c r="E29" s="33">
        <f t="shared" si="7"/>
        <v>1143.8498999309791</v>
      </c>
      <c r="F29" s="33">
        <f t="shared" si="7"/>
        <v>0</v>
      </c>
      <c r="G29" s="33">
        <f t="shared" si="7"/>
        <v>0</v>
      </c>
      <c r="H29" s="33">
        <f t="shared" si="7"/>
        <v>0</v>
      </c>
      <c r="I29" s="33">
        <f t="shared" si="7"/>
        <v>0</v>
      </c>
      <c r="J29" s="33">
        <f t="shared" si="7"/>
        <v>0</v>
      </c>
      <c r="K29" s="33">
        <f t="shared" si="7"/>
        <v>0</v>
      </c>
      <c r="L29" s="33">
        <f>(L26*(L26+1)*L27/((1+$C$25)^L26))</f>
        <v>0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spans="1:31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spans="1:3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spans="1:3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spans="1:3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1F24-6587-9B43-9FD2-F3EFC9E09421}">
  <dimension ref="A1:H2"/>
  <sheetViews>
    <sheetView workbookViewId="0">
      <selection activeCell="H2" sqref="H2"/>
    </sheetView>
  </sheetViews>
  <sheetFormatPr baseColWidth="10" defaultRowHeight="16" x14ac:dyDescent="0.2"/>
  <cols>
    <col min="1" max="1" width="21.5" customWidth="1"/>
  </cols>
  <sheetData>
    <row r="1" spans="1:8" x14ac:dyDescent="0.2">
      <c r="A1" t="s">
        <v>68</v>
      </c>
    </row>
    <row r="2" spans="1:8" x14ac:dyDescent="0.2">
      <c r="B2" t="s">
        <v>123</v>
      </c>
      <c r="C2" t="s">
        <v>67</v>
      </c>
      <c r="D2" t="s">
        <v>147</v>
      </c>
      <c r="E2" t="s">
        <v>145</v>
      </c>
      <c r="F2" t="s">
        <v>146</v>
      </c>
      <c r="H2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33C8-8325-ED4E-A228-F5763482BBE2}">
  <dimension ref="A1"/>
  <sheetViews>
    <sheetView topLeftCell="B9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8</vt:i4>
      </vt:variant>
    </vt:vector>
  </HeadingPairs>
  <TitlesOfParts>
    <vt:vector size="8" baseType="lpstr">
      <vt:lpstr>forside</vt:lpstr>
      <vt:lpstr>derivater på binomialtræ(1 per)</vt:lpstr>
      <vt:lpstr>derivater på binomialtræ(2 per)</vt:lpstr>
      <vt:lpstr>bond market stokastisk</vt:lpstr>
      <vt:lpstr>portføljeteori</vt:lpstr>
      <vt:lpstr>bond market</vt:lpstr>
      <vt:lpstr>factormodel</vt:lpstr>
      <vt:lpstr>BSM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Asger Konradi Lauridsen</dc:creator>
  <cp:lastModifiedBy>Asger Konradi Lauridsen</cp:lastModifiedBy>
  <dcterms:created xsi:type="dcterms:W3CDTF">2025-01-09T11:50:58Z</dcterms:created>
  <dcterms:modified xsi:type="dcterms:W3CDTF">2025-01-14T21:00:59Z</dcterms:modified>
</cp:coreProperties>
</file>