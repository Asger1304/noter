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inv-fin/"/>
    </mc:Choice>
  </mc:AlternateContent>
  <xr:revisionPtr revIDLastSave="0" documentId="8_{C0E4FDBA-40E5-4D4E-8446-B21A33D2109E}" xr6:coauthVersionLast="47" xr6:coauthVersionMax="47" xr10:uidLastSave="{00000000-0000-0000-0000-000000000000}"/>
  <bookViews>
    <workbookView xWindow="-120" yWindow="-120" windowWidth="29040" windowHeight="15720" xr2:uid="{5B0A5124-15EB-42B9-976E-5F1875C3E051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" l="1"/>
  <c r="V16" i="1"/>
  <c r="V14" i="1"/>
  <c r="W13" i="1"/>
  <c r="W17" i="1"/>
  <c r="W15" i="1"/>
  <c r="X14" i="1"/>
  <c r="X16" i="1"/>
  <c r="X18" i="1"/>
  <c r="X12" i="1"/>
  <c r="Y19" i="1"/>
  <c r="Y17" i="1"/>
  <c r="Y15" i="1"/>
  <c r="Y13" i="1"/>
  <c r="C5" i="1"/>
  <c r="B5" i="1"/>
  <c r="M16" i="1"/>
  <c r="M14" i="1"/>
  <c r="N15" i="1"/>
  <c r="N17" i="1"/>
  <c r="N13" i="1"/>
  <c r="O12" i="1"/>
  <c r="O14" i="1"/>
  <c r="O16" i="1"/>
  <c r="O18" i="1"/>
  <c r="P19" i="1"/>
  <c r="P17" i="1"/>
  <c r="P15" i="1"/>
  <c r="P13" i="1"/>
  <c r="H19" i="1"/>
  <c r="H17" i="1"/>
  <c r="H15" i="1"/>
  <c r="H13" i="1"/>
  <c r="H11" i="1"/>
  <c r="G18" i="1"/>
  <c r="G16" i="1"/>
  <c r="G14" i="1"/>
  <c r="G12" i="1"/>
  <c r="F13" i="1"/>
  <c r="E16" i="1"/>
  <c r="F15" i="1" s="1"/>
  <c r="E14" i="1"/>
  <c r="D15" i="1"/>
  <c r="J4" i="1"/>
  <c r="J3" i="1"/>
  <c r="J2" i="1"/>
  <c r="G6" i="1"/>
  <c r="G5" i="1"/>
  <c r="G4" i="1"/>
  <c r="G3" i="1"/>
  <c r="G2" i="1"/>
  <c r="B3" i="1"/>
  <c r="F17" i="1" l="1"/>
</calcChain>
</file>

<file path=xl/sharedStrings.xml><?xml version="1.0" encoding="utf-8"?>
<sst xmlns="http://schemas.openxmlformats.org/spreadsheetml/2006/main" count="14" uniqueCount="14">
  <si>
    <t>u</t>
  </si>
  <si>
    <t>d</t>
  </si>
  <si>
    <t>s0</t>
  </si>
  <si>
    <t>su4</t>
  </si>
  <si>
    <t>su3d</t>
  </si>
  <si>
    <t>su2d2</t>
  </si>
  <si>
    <t>sud3</t>
  </si>
  <si>
    <t>sd4</t>
  </si>
  <si>
    <t>K=50</t>
  </si>
  <si>
    <t>C</t>
  </si>
  <si>
    <t>excercise payouts</t>
  </si>
  <si>
    <t>q</t>
  </si>
  <si>
    <t>1-q</t>
  </si>
  <si>
    <t>backwards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</si>
</sst>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C803-63A9-4BD8-96FC-31E9E5221B80}">
  <dimension ref="B1:Y19"/>
  <sheetViews>
    <sheetView tabSelected="1" topLeftCell="D1" workbookViewId="0">
      <selection activeCell="U22" sqref="U22"/>
    </sheetView>
  </sheetViews>
  <sheetFormatPr defaultRowHeight="15" x14ac:dyDescent="0.25"/>
  <cols>
    <col min="20" max="20" width="18.5703125" customWidth="1"/>
  </cols>
  <sheetData>
    <row r="1" spans="2:25" x14ac:dyDescent="0.25">
      <c r="I1" t="s">
        <v>9</v>
      </c>
      <c r="J1" t="s">
        <v>8</v>
      </c>
    </row>
    <row r="2" spans="2:25" x14ac:dyDescent="0.25">
      <c r="B2" t="s">
        <v>0</v>
      </c>
      <c r="C2" t="s">
        <v>1</v>
      </c>
      <c r="D2" t="s">
        <v>2</v>
      </c>
      <c r="F2" t="s">
        <v>3</v>
      </c>
      <c r="G2">
        <f>D3*B3^4</f>
        <v>73.205000000000027</v>
      </c>
      <c r="J2">
        <f>G2-50</f>
        <v>23.205000000000027</v>
      </c>
    </row>
    <row r="3" spans="2:25" x14ac:dyDescent="0.25">
      <c r="B3">
        <f>1.1</f>
        <v>1.1000000000000001</v>
      </c>
      <c r="C3">
        <v>0.95</v>
      </c>
      <c r="D3">
        <v>50</v>
      </c>
      <c r="F3" t="s">
        <v>4</v>
      </c>
      <c r="G3">
        <f>D3*B3^3*C3</f>
        <v>63.222500000000018</v>
      </c>
      <c r="J3">
        <f>G3-50</f>
        <v>13.222500000000018</v>
      </c>
    </row>
    <row r="4" spans="2:25" x14ac:dyDescent="0.25">
      <c r="B4" t="s">
        <v>11</v>
      </c>
      <c r="C4" t="s">
        <v>12</v>
      </c>
      <c r="F4" t="s">
        <v>5</v>
      </c>
      <c r="G4">
        <f>B3^2*C3^2*D3</f>
        <v>54.60125</v>
      </c>
      <c r="J4">
        <f>G4-50</f>
        <v>4.6012500000000003</v>
      </c>
    </row>
    <row r="5" spans="2:25" x14ac:dyDescent="0.25">
      <c r="B5">
        <f>1/3</f>
        <v>0.33333333333333331</v>
      </c>
      <c r="C5">
        <f>2/3</f>
        <v>0.66666666666666663</v>
      </c>
      <c r="F5" t="s">
        <v>6</v>
      </c>
      <c r="G5">
        <f>D3*B3*C3^3</f>
        <v>47.155625000000001</v>
      </c>
      <c r="J5">
        <v>0</v>
      </c>
    </row>
    <row r="6" spans="2:25" x14ac:dyDescent="0.25">
      <c r="F6" t="s">
        <v>7</v>
      </c>
      <c r="G6">
        <f>D3*C3^4</f>
        <v>40.725312500000001</v>
      </c>
      <c r="J6">
        <v>0</v>
      </c>
    </row>
    <row r="10" spans="2:25" x14ac:dyDescent="0.25">
      <c r="K10" t="s">
        <v>10</v>
      </c>
    </row>
    <row r="11" spans="2:25" x14ac:dyDescent="0.25">
      <c r="H11">
        <f>G12*1.1</f>
        <v>73.205000000000041</v>
      </c>
      <c r="P11">
        <v>0</v>
      </c>
      <c r="T11" t="s">
        <v>13</v>
      </c>
      <c r="Y11">
        <v>0</v>
      </c>
    </row>
    <row r="12" spans="2:25" x14ac:dyDescent="0.25">
      <c r="G12">
        <f>F13*1.1</f>
        <v>66.550000000000026</v>
      </c>
      <c r="O12">
        <f>70-G12</f>
        <v>3.4499999999999744</v>
      </c>
      <c r="X12">
        <f>MAX($B$5*Y11+$C$5*Y13,O12)</f>
        <v>4.5183333333333167</v>
      </c>
    </row>
    <row r="13" spans="2:25" x14ac:dyDescent="0.25">
      <c r="F13">
        <f>E14*1.1</f>
        <v>60.500000000000014</v>
      </c>
      <c r="H13">
        <f>G14*1.1</f>
        <v>63.222500000000025</v>
      </c>
      <c r="N13">
        <f>70-F13</f>
        <v>9.4999999999999858</v>
      </c>
      <c r="P13">
        <f>70-H13</f>
        <v>6.777499999999975</v>
      </c>
      <c r="W13">
        <f>MAX($B$5*X12+$C$5*X14,N13)</f>
        <v>9.8561111111110957</v>
      </c>
      <c r="Y13">
        <f>P13</f>
        <v>6.777499999999975</v>
      </c>
    </row>
    <row r="14" spans="2:25" x14ac:dyDescent="0.25">
      <c r="E14">
        <f>D3*B3</f>
        <v>55.000000000000007</v>
      </c>
      <c r="G14">
        <f>F15*1.1</f>
        <v>57.475000000000016</v>
      </c>
      <c r="M14">
        <f>70-E14</f>
        <v>14.999999999999993</v>
      </c>
      <c r="O14">
        <f>70-G14</f>
        <v>12.524999999999984</v>
      </c>
      <c r="V14">
        <f>MAX($B$5*W13+$C$5*W15,M14)</f>
        <v>15.118703703703694</v>
      </c>
      <c r="X14">
        <f t="shared" ref="W14:X18" si="0">MAX($B$5*Y13+$C$5*Y15,O14)</f>
        <v>12.524999999999986</v>
      </c>
    </row>
    <row r="15" spans="2:25" x14ac:dyDescent="0.25">
      <c r="D15">
        <f>D3</f>
        <v>50</v>
      </c>
      <c r="F15">
        <f>E16*1.1</f>
        <v>52.250000000000007</v>
      </c>
      <c r="H15">
        <f>G16*1.1</f>
        <v>54.601250000000007</v>
      </c>
      <c r="L15">
        <v>20</v>
      </c>
      <c r="N15">
        <f>70-F15</f>
        <v>17.749999999999993</v>
      </c>
      <c r="P15">
        <f>70-H15</f>
        <v>15.398749999999993</v>
      </c>
      <c r="U15">
        <f>MAX($B$5*V14+$C$5*V16,L15)</f>
        <v>20.039567901234562</v>
      </c>
      <c r="W15">
        <f t="shared" si="0"/>
        <v>17.749999999999993</v>
      </c>
      <c r="Y15">
        <f>P15</f>
        <v>15.398749999999993</v>
      </c>
    </row>
    <row r="16" spans="2:25" x14ac:dyDescent="0.25">
      <c r="E16">
        <f>D15*0.95</f>
        <v>47.5</v>
      </c>
      <c r="G16">
        <f>F17*1.1</f>
        <v>49.637500000000003</v>
      </c>
      <c r="M16">
        <f>70-E16</f>
        <v>22.5</v>
      </c>
      <c r="O16">
        <f>70-G16</f>
        <v>20.362499999999997</v>
      </c>
      <c r="V16">
        <f>MAX($B$5*W15+$C$5*W17,M16)</f>
        <v>22.5</v>
      </c>
      <c r="X16">
        <f t="shared" si="0"/>
        <v>20.362499999999997</v>
      </c>
    </row>
    <row r="17" spans="6:25" x14ac:dyDescent="0.25">
      <c r="F17">
        <f>E16*C3</f>
        <v>45.125</v>
      </c>
      <c r="H17">
        <f>G18*1.1</f>
        <v>47.155625000000001</v>
      </c>
      <c r="N17">
        <f>70-F17</f>
        <v>24.875</v>
      </c>
      <c r="P17">
        <f>70-H17</f>
        <v>22.844374999999999</v>
      </c>
      <c r="W17">
        <f t="shared" si="0"/>
        <v>24.875</v>
      </c>
      <c r="Y17">
        <f>P17</f>
        <v>22.844374999999999</v>
      </c>
    </row>
    <row r="18" spans="6:25" x14ac:dyDescent="0.25">
      <c r="G18">
        <f>F17*0.95</f>
        <v>42.868749999999999</v>
      </c>
      <c r="O18">
        <f>70-G18</f>
        <v>27.131250000000001</v>
      </c>
      <c r="X18">
        <f t="shared" si="0"/>
        <v>27.131250000000001</v>
      </c>
    </row>
    <row r="19" spans="6:25" x14ac:dyDescent="0.25">
      <c r="H19">
        <f>G18*0.95</f>
        <v>40.725312499999994</v>
      </c>
      <c r="P19">
        <f>70-H19</f>
        <v>29.274687500000006</v>
      </c>
      <c r="Y19">
        <f>P19</f>
        <v>29.274687500000006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konradi</dc:creator>
  <cp:lastModifiedBy>asger konradi</cp:lastModifiedBy>
  <dcterms:created xsi:type="dcterms:W3CDTF">2024-11-30T09:19:10Z</dcterms:created>
  <dcterms:modified xsi:type="dcterms:W3CDTF">2024-12-02T11:43:19Z</dcterms:modified>
</cp:coreProperties>
</file>